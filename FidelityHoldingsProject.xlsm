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Files\IntroToComputerProgramming\ExcelProjectFall2022\ExcelProjectFall2022\"/>
    </mc:Choice>
  </mc:AlternateContent>
  <xr:revisionPtr revIDLastSave="0" documentId="13_ncr:1_{507856FC-DFA1-4C54-99ED-BDC3B950EC71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MainSheet" sheetId="2" r:id="rId1"/>
    <sheet name="Final (2)" sheetId="4" r:id="rId2"/>
  </sheets>
  <definedNames>
    <definedName name="ExternalData_1" localSheetId="1" hidden="1">'Final (2)'!$A$1:$J$577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498" i="2" l="1" a="1"/>
  <c r="AQ498" i="2" s="1"/>
  <c r="AO4" i="2"/>
  <c r="AO3" i="2"/>
  <c r="AO2" i="2"/>
  <c r="AO6" i="2"/>
  <c r="AO5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30" i="2"/>
  <c r="AO29" i="2"/>
  <c r="AO28" i="2"/>
  <c r="AO27" i="2"/>
  <c r="AO26" i="2"/>
  <c r="AO37" i="2"/>
  <c r="AO36" i="2"/>
  <c r="AO35" i="2"/>
  <c r="AO34" i="2"/>
  <c r="AO33" i="2"/>
  <c r="AO32" i="2"/>
  <c r="AO31" i="2"/>
  <c r="AO46" i="2"/>
  <c r="AO45" i="2"/>
  <c r="AO44" i="2"/>
  <c r="AO43" i="2"/>
  <c r="AO42" i="2"/>
  <c r="AO41" i="2"/>
  <c r="AO40" i="2"/>
  <c r="AO39" i="2"/>
  <c r="AO38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72" i="2"/>
  <c r="AO71" i="2"/>
  <c r="AO70" i="2"/>
  <c r="AO69" i="2"/>
  <c r="AO68" i="2"/>
  <c r="AO67" i="2"/>
  <c r="AO77" i="2"/>
  <c r="AO76" i="2"/>
  <c r="AO75" i="2"/>
  <c r="AO74" i="2"/>
  <c r="AO73" i="2"/>
  <c r="AO80" i="2"/>
  <c r="AO79" i="2"/>
  <c r="AO78" i="2"/>
  <c r="AO88" i="2"/>
  <c r="AO87" i="2"/>
  <c r="AO86" i="2"/>
  <c r="AO85" i="2"/>
  <c r="AO84" i="2"/>
  <c r="AO83" i="2"/>
  <c r="AO82" i="2"/>
  <c r="AO81" i="2"/>
  <c r="AO95" i="2"/>
  <c r="AO94" i="2"/>
  <c r="AO93" i="2"/>
  <c r="AO92" i="2"/>
  <c r="AO91" i="2"/>
  <c r="AO90" i="2"/>
  <c r="AO89" i="2"/>
  <c r="AO106" i="2"/>
  <c r="AO105" i="2"/>
  <c r="AO104" i="2"/>
  <c r="AO103" i="2"/>
  <c r="AO102" i="2"/>
  <c r="AO101" i="2"/>
  <c r="AO100" i="2"/>
  <c r="AO99" i="2"/>
  <c r="AO98" i="2"/>
  <c r="AO97" i="2"/>
  <c r="AO96" i="2"/>
  <c r="AO135" i="2"/>
  <c r="AO134" i="2"/>
  <c r="AO133" i="2"/>
  <c r="AO132" i="2"/>
  <c r="AM4" i="2" a="1"/>
  <c r="AM4" i="2" s="1"/>
  <c r="AN4" i="2" s="1"/>
  <c r="AJ4" i="2" a="1"/>
  <c r="AJ4" i="2" s="1"/>
  <c r="AK4" i="2" s="1"/>
  <c r="AG4" i="2" a="1"/>
  <c r="AG4" i="2" s="1"/>
  <c r="AH4" i="2" s="1"/>
  <c r="AD4" i="2" a="1"/>
  <c r="AD4" i="2" s="1"/>
  <c r="AE4" i="2" s="1"/>
  <c r="AA4" i="2" a="1"/>
  <c r="AA4" i="2" s="1"/>
  <c r="AB4" i="2" s="1"/>
  <c r="X4" i="2" a="1"/>
  <c r="X4" i="2" s="1"/>
  <c r="Y4" i="2" s="1"/>
  <c r="AM3" i="2" a="1"/>
  <c r="AM3" i="2" s="1"/>
  <c r="AN3" i="2" s="1"/>
  <c r="AJ3" i="2" a="1"/>
  <c r="AJ3" i="2" s="1"/>
  <c r="AK3" i="2" s="1"/>
  <c r="AG3" i="2" a="1"/>
  <c r="AG3" i="2" s="1"/>
  <c r="AH3" i="2" s="1"/>
  <c r="AD3" i="2" a="1"/>
  <c r="AD3" i="2" s="1"/>
  <c r="AE3" i="2" s="1"/>
  <c r="AA3" i="2" a="1"/>
  <c r="AA3" i="2" s="1"/>
  <c r="AB3" i="2" s="1"/>
  <c r="X3" i="2" a="1"/>
  <c r="X3" i="2" s="1"/>
  <c r="Y3" i="2" s="1"/>
  <c r="AM2" i="2" a="1"/>
  <c r="AM2" i="2" s="1"/>
  <c r="AN2" i="2" s="1"/>
  <c r="AJ2" i="2" a="1"/>
  <c r="AJ2" i="2" s="1"/>
  <c r="AK2" i="2" s="1"/>
  <c r="AG2" i="2" a="1"/>
  <c r="AG2" i="2" s="1"/>
  <c r="AH2" i="2" s="1"/>
  <c r="AD2" i="2" a="1"/>
  <c r="AD2" i="2" s="1"/>
  <c r="AE2" i="2" s="1"/>
  <c r="AA2" i="2" a="1"/>
  <c r="AA2" i="2" s="1"/>
  <c r="AB2" i="2" s="1"/>
  <c r="X2" i="2" a="1"/>
  <c r="X2" i="2" s="1"/>
  <c r="Y2" i="2" s="1"/>
  <c r="AM5" i="2" a="1"/>
  <c r="AM5" i="2" s="1"/>
  <c r="AN5" i="2" s="1"/>
  <c r="AJ5" i="2" a="1"/>
  <c r="AJ5" i="2" s="1"/>
  <c r="AK5" i="2" s="1"/>
  <c r="AG5" i="2" a="1"/>
  <c r="AG5" i="2" s="1"/>
  <c r="AH5" i="2" s="1"/>
  <c r="AD5" i="2" a="1"/>
  <c r="AD5" i="2" s="1"/>
  <c r="AE5" i="2" s="1"/>
  <c r="AA5" i="2" a="1"/>
  <c r="AA5" i="2" s="1"/>
  <c r="AB5" i="2" s="1"/>
  <c r="X5" i="2" a="1"/>
  <c r="X5" i="2" s="1"/>
  <c r="Y5" i="2" s="1"/>
  <c r="AM25" i="2" a="1"/>
  <c r="AM25" i="2" s="1"/>
  <c r="AN25" i="2" s="1"/>
  <c r="AJ25" i="2" a="1"/>
  <c r="AJ25" i="2" s="1"/>
  <c r="AK25" i="2" s="1"/>
  <c r="AG25" i="2" a="1"/>
  <c r="AG25" i="2" s="1"/>
  <c r="AH25" i="2" s="1"/>
  <c r="AD25" i="2" a="1"/>
  <c r="AD25" i="2" s="1"/>
  <c r="AE25" i="2" s="1"/>
  <c r="AA25" i="2" a="1"/>
  <c r="AA25" i="2" s="1"/>
  <c r="AB25" i="2" s="1"/>
  <c r="X25" i="2" a="1"/>
  <c r="X25" i="2" s="1"/>
  <c r="Y25" i="2" s="1"/>
  <c r="AM24" i="2" a="1"/>
  <c r="AM24" i="2" s="1"/>
  <c r="AN24" i="2" s="1"/>
  <c r="AJ24" i="2" a="1"/>
  <c r="AJ24" i="2" s="1"/>
  <c r="AK24" i="2" s="1"/>
  <c r="AG24" i="2" a="1"/>
  <c r="AG24" i="2" s="1"/>
  <c r="AH24" i="2" s="1"/>
  <c r="AD24" i="2" a="1"/>
  <c r="AD24" i="2" s="1"/>
  <c r="AE24" i="2" s="1"/>
  <c r="AA24" i="2" a="1"/>
  <c r="AA24" i="2" s="1"/>
  <c r="AB24" i="2" s="1"/>
  <c r="X24" i="2" a="1"/>
  <c r="X24" i="2" s="1"/>
  <c r="Y24" i="2" s="1"/>
  <c r="AM23" i="2" a="1"/>
  <c r="AM23" i="2" s="1"/>
  <c r="AN23" i="2" s="1"/>
  <c r="AJ23" i="2" a="1"/>
  <c r="AJ23" i="2" s="1"/>
  <c r="AK23" i="2" s="1"/>
  <c r="AG23" i="2" a="1"/>
  <c r="AG23" i="2" s="1"/>
  <c r="AH23" i="2" s="1"/>
  <c r="AD23" i="2" a="1"/>
  <c r="AD23" i="2" s="1"/>
  <c r="AE23" i="2" s="1"/>
  <c r="AA23" i="2" a="1"/>
  <c r="AA23" i="2" s="1"/>
  <c r="AB23" i="2" s="1"/>
  <c r="X23" i="2" a="1"/>
  <c r="X23" i="2" s="1"/>
  <c r="Y23" i="2" s="1"/>
  <c r="AM22" i="2" a="1"/>
  <c r="AM22" i="2" s="1"/>
  <c r="AN22" i="2" s="1"/>
  <c r="AJ22" i="2" a="1"/>
  <c r="AJ22" i="2" s="1"/>
  <c r="AK22" i="2" s="1"/>
  <c r="AG22" i="2" a="1"/>
  <c r="AG22" i="2" s="1"/>
  <c r="AH22" i="2" s="1"/>
  <c r="AD22" i="2" a="1"/>
  <c r="AD22" i="2" s="1"/>
  <c r="AE22" i="2" s="1"/>
  <c r="AA22" i="2" a="1"/>
  <c r="AA22" i="2" s="1"/>
  <c r="AB22" i="2" s="1"/>
  <c r="X22" i="2" a="1"/>
  <c r="X22" i="2" s="1"/>
  <c r="Y22" i="2" s="1"/>
  <c r="AM21" i="2" a="1"/>
  <c r="AM21" i="2" s="1"/>
  <c r="AN21" i="2" s="1"/>
  <c r="AJ21" i="2" a="1"/>
  <c r="AJ21" i="2" s="1"/>
  <c r="AK21" i="2" s="1"/>
  <c r="AG21" i="2" a="1"/>
  <c r="AG21" i="2" s="1"/>
  <c r="AH21" i="2" s="1"/>
  <c r="AD21" i="2" a="1"/>
  <c r="AD21" i="2" s="1"/>
  <c r="AE21" i="2" s="1"/>
  <c r="AA21" i="2" a="1"/>
  <c r="AA21" i="2" s="1"/>
  <c r="AB21" i="2" s="1"/>
  <c r="X21" i="2" a="1"/>
  <c r="X21" i="2" s="1"/>
  <c r="Y21" i="2" s="1"/>
  <c r="AM20" i="2" a="1"/>
  <c r="AM20" i="2" s="1"/>
  <c r="AN20" i="2" s="1"/>
  <c r="AJ20" i="2" a="1"/>
  <c r="AJ20" i="2" s="1"/>
  <c r="AK20" i="2" s="1"/>
  <c r="AG20" i="2" a="1"/>
  <c r="AG20" i="2" s="1"/>
  <c r="AH20" i="2" s="1"/>
  <c r="AD20" i="2" a="1"/>
  <c r="AD20" i="2" s="1"/>
  <c r="AE20" i="2" s="1"/>
  <c r="AA20" i="2" a="1"/>
  <c r="AA20" i="2" s="1"/>
  <c r="AB20" i="2" s="1"/>
  <c r="X20" i="2" a="1"/>
  <c r="X20" i="2" s="1"/>
  <c r="Y20" i="2" s="1"/>
  <c r="AM19" i="2" a="1"/>
  <c r="AM19" i="2" s="1"/>
  <c r="AN19" i="2" s="1"/>
  <c r="AJ19" i="2" a="1"/>
  <c r="AJ19" i="2" s="1"/>
  <c r="AK19" i="2" s="1"/>
  <c r="AG19" i="2" a="1"/>
  <c r="AG19" i="2" s="1"/>
  <c r="AH19" i="2" s="1"/>
  <c r="AD19" i="2" a="1"/>
  <c r="AD19" i="2" s="1"/>
  <c r="AE19" i="2" s="1"/>
  <c r="AA19" i="2" a="1"/>
  <c r="AA19" i="2" s="1"/>
  <c r="AB19" i="2" s="1"/>
  <c r="X19" i="2" a="1"/>
  <c r="X19" i="2" s="1"/>
  <c r="Y19" i="2" s="1"/>
  <c r="AM18" i="2" a="1"/>
  <c r="AM18" i="2" s="1"/>
  <c r="AN18" i="2" s="1"/>
  <c r="AJ18" i="2" a="1"/>
  <c r="AJ18" i="2" s="1"/>
  <c r="AK18" i="2" s="1"/>
  <c r="AG18" i="2" a="1"/>
  <c r="AG18" i="2" s="1"/>
  <c r="AH18" i="2" s="1"/>
  <c r="AD18" i="2" a="1"/>
  <c r="AD18" i="2" s="1"/>
  <c r="AE18" i="2" s="1"/>
  <c r="AA18" i="2" a="1"/>
  <c r="AA18" i="2" s="1"/>
  <c r="AB18" i="2" s="1"/>
  <c r="X18" i="2" a="1"/>
  <c r="X18" i="2" s="1"/>
  <c r="Y18" i="2" s="1"/>
  <c r="AM17" i="2" a="1"/>
  <c r="AM17" i="2" s="1"/>
  <c r="AN17" i="2" s="1"/>
  <c r="AJ17" i="2" a="1"/>
  <c r="AJ17" i="2" s="1"/>
  <c r="AK17" i="2" s="1"/>
  <c r="AG17" i="2" a="1"/>
  <c r="AG17" i="2" s="1"/>
  <c r="AH17" i="2" s="1"/>
  <c r="AD17" i="2" a="1"/>
  <c r="AD17" i="2" s="1"/>
  <c r="AE17" i="2" s="1"/>
  <c r="AA17" i="2" a="1"/>
  <c r="AA17" i="2" s="1"/>
  <c r="AB17" i="2" s="1"/>
  <c r="X17" i="2" a="1"/>
  <c r="X17" i="2" s="1"/>
  <c r="Y17" i="2" s="1"/>
  <c r="AM16" i="2" a="1"/>
  <c r="AM16" i="2" s="1"/>
  <c r="AN16" i="2" s="1"/>
  <c r="AJ16" i="2" a="1"/>
  <c r="AJ16" i="2" s="1"/>
  <c r="AK16" i="2" s="1"/>
  <c r="AG16" i="2" a="1"/>
  <c r="AG16" i="2" s="1"/>
  <c r="AH16" i="2" s="1"/>
  <c r="AD16" i="2" a="1"/>
  <c r="AD16" i="2" s="1"/>
  <c r="AE16" i="2" s="1"/>
  <c r="AA16" i="2" a="1"/>
  <c r="AA16" i="2" s="1"/>
  <c r="AB16" i="2" s="1"/>
  <c r="X16" i="2" a="1"/>
  <c r="X16" i="2" s="1"/>
  <c r="Y16" i="2" s="1"/>
  <c r="AM15" i="2" a="1"/>
  <c r="AM15" i="2" s="1"/>
  <c r="AN15" i="2" s="1"/>
  <c r="AJ15" i="2" a="1"/>
  <c r="AJ15" i="2" s="1"/>
  <c r="AK15" i="2" s="1"/>
  <c r="AG15" i="2" a="1"/>
  <c r="AG15" i="2" s="1"/>
  <c r="AH15" i="2" s="1"/>
  <c r="AD15" i="2" a="1"/>
  <c r="AD15" i="2" s="1"/>
  <c r="AE15" i="2" s="1"/>
  <c r="AA15" i="2" a="1"/>
  <c r="AA15" i="2" s="1"/>
  <c r="AB15" i="2" s="1"/>
  <c r="X15" i="2" a="1"/>
  <c r="X15" i="2" s="1"/>
  <c r="Y15" i="2" s="1"/>
  <c r="AM14" i="2" a="1"/>
  <c r="AM14" i="2" s="1"/>
  <c r="AN14" i="2" s="1"/>
  <c r="AJ14" i="2" a="1"/>
  <c r="AJ14" i="2" s="1"/>
  <c r="AK14" i="2" s="1"/>
  <c r="AG14" i="2" a="1"/>
  <c r="AG14" i="2" s="1"/>
  <c r="AH14" i="2" s="1"/>
  <c r="AD14" i="2" a="1"/>
  <c r="AD14" i="2" s="1"/>
  <c r="AE14" i="2" s="1"/>
  <c r="AA14" i="2" a="1"/>
  <c r="AA14" i="2" s="1"/>
  <c r="AB14" i="2" s="1"/>
  <c r="X14" i="2" a="1"/>
  <c r="X14" i="2" s="1"/>
  <c r="Y14" i="2" s="1"/>
  <c r="AM13" i="2" a="1"/>
  <c r="AM13" i="2" s="1"/>
  <c r="AN13" i="2" s="1"/>
  <c r="AJ13" i="2" a="1"/>
  <c r="AJ13" i="2" s="1"/>
  <c r="AK13" i="2" s="1"/>
  <c r="AG13" i="2" a="1"/>
  <c r="AG13" i="2" s="1"/>
  <c r="AH13" i="2" s="1"/>
  <c r="AD13" i="2" a="1"/>
  <c r="AD13" i="2" s="1"/>
  <c r="AE13" i="2" s="1"/>
  <c r="AA13" i="2" a="1"/>
  <c r="AA13" i="2" s="1"/>
  <c r="AB13" i="2" s="1"/>
  <c r="X13" i="2" a="1"/>
  <c r="X13" i="2" s="1"/>
  <c r="Y13" i="2" s="1"/>
  <c r="AM12" i="2" a="1"/>
  <c r="AM12" i="2" s="1"/>
  <c r="AN12" i="2" s="1"/>
  <c r="AJ12" i="2" a="1"/>
  <c r="AJ12" i="2" s="1"/>
  <c r="AK12" i="2" s="1"/>
  <c r="AG12" i="2" a="1"/>
  <c r="AG12" i="2" s="1"/>
  <c r="AH12" i="2" s="1"/>
  <c r="AD12" i="2" a="1"/>
  <c r="AD12" i="2" s="1"/>
  <c r="AE12" i="2" s="1"/>
  <c r="AA12" i="2" a="1"/>
  <c r="AA12" i="2" s="1"/>
  <c r="AB12" i="2" s="1"/>
  <c r="X12" i="2" a="1"/>
  <c r="X12" i="2" s="1"/>
  <c r="Y12" i="2" s="1"/>
  <c r="AM11" i="2" a="1"/>
  <c r="AM11" i="2" s="1"/>
  <c r="AN11" i="2" s="1"/>
  <c r="AJ11" i="2" a="1"/>
  <c r="AJ11" i="2" s="1"/>
  <c r="AK11" i="2" s="1"/>
  <c r="AG11" i="2" a="1"/>
  <c r="AG11" i="2" s="1"/>
  <c r="AH11" i="2" s="1"/>
  <c r="AD11" i="2" a="1"/>
  <c r="AD11" i="2" s="1"/>
  <c r="AE11" i="2" s="1"/>
  <c r="AA11" i="2" a="1"/>
  <c r="AA11" i="2" s="1"/>
  <c r="AB11" i="2" s="1"/>
  <c r="X11" i="2" a="1"/>
  <c r="X11" i="2" s="1"/>
  <c r="Y11" i="2" s="1"/>
  <c r="AM10" i="2" a="1"/>
  <c r="AM10" i="2" s="1"/>
  <c r="AN10" i="2" s="1"/>
  <c r="AJ10" i="2" a="1"/>
  <c r="AJ10" i="2" s="1"/>
  <c r="AK10" i="2" s="1"/>
  <c r="AG10" i="2" a="1"/>
  <c r="AG10" i="2" s="1"/>
  <c r="AH10" i="2" s="1"/>
  <c r="AD10" i="2" a="1"/>
  <c r="AD10" i="2" s="1"/>
  <c r="AE10" i="2" s="1"/>
  <c r="AA10" i="2" a="1"/>
  <c r="AA10" i="2" s="1"/>
  <c r="AB10" i="2" s="1"/>
  <c r="X10" i="2" a="1"/>
  <c r="X10" i="2" s="1"/>
  <c r="Y10" i="2" s="1"/>
  <c r="AM9" i="2" a="1"/>
  <c r="AM9" i="2" s="1"/>
  <c r="AN9" i="2" s="1"/>
  <c r="AJ9" i="2" a="1"/>
  <c r="AJ9" i="2" s="1"/>
  <c r="AK9" i="2" s="1"/>
  <c r="AG9" i="2" a="1"/>
  <c r="AG9" i="2" s="1"/>
  <c r="AH9" i="2" s="1"/>
  <c r="AD9" i="2" a="1"/>
  <c r="AD9" i="2" s="1"/>
  <c r="AE9" i="2" s="1"/>
  <c r="AA9" i="2" a="1"/>
  <c r="AA9" i="2" s="1"/>
  <c r="AB9" i="2" s="1"/>
  <c r="X9" i="2" a="1"/>
  <c r="X9" i="2" s="1"/>
  <c r="Y9" i="2" s="1"/>
  <c r="AM8" i="2" a="1"/>
  <c r="AM8" i="2" s="1"/>
  <c r="AN8" i="2" s="1"/>
  <c r="AJ8" i="2" a="1"/>
  <c r="AJ8" i="2" s="1"/>
  <c r="AK8" i="2" s="1"/>
  <c r="AG8" i="2" a="1"/>
  <c r="AG8" i="2" s="1"/>
  <c r="AH8" i="2" s="1"/>
  <c r="AD8" i="2" a="1"/>
  <c r="AD8" i="2" s="1"/>
  <c r="AE8" i="2" s="1"/>
  <c r="AA8" i="2" a="1"/>
  <c r="AA8" i="2" s="1"/>
  <c r="AB8" i="2" s="1"/>
  <c r="X8" i="2" a="1"/>
  <c r="X8" i="2" s="1"/>
  <c r="Y8" i="2" s="1"/>
  <c r="AM7" i="2" a="1"/>
  <c r="AM7" i="2" s="1"/>
  <c r="AN7" i="2" s="1"/>
  <c r="AJ7" i="2" a="1"/>
  <c r="AJ7" i="2" s="1"/>
  <c r="AK7" i="2" s="1"/>
  <c r="AG7" i="2" a="1"/>
  <c r="AG7" i="2" s="1"/>
  <c r="AH7" i="2" s="1"/>
  <c r="AD7" i="2" a="1"/>
  <c r="AD7" i="2" s="1"/>
  <c r="AE7" i="2" s="1"/>
  <c r="AA7" i="2" a="1"/>
  <c r="AA7" i="2" s="1"/>
  <c r="AB7" i="2" s="1"/>
  <c r="X7" i="2" a="1"/>
  <c r="X7" i="2" s="1"/>
  <c r="Y7" i="2" s="1"/>
  <c r="AM6" i="2" a="1"/>
  <c r="AM6" i="2" s="1"/>
  <c r="AN6" i="2" s="1"/>
  <c r="AJ6" i="2" a="1"/>
  <c r="AJ6" i="2" s="1"/>
  <c r="AK6" i="2" s="1"/>
  <c r="AG6" i="2" a="1"/>
  <c r="AG6" i="2" s="1"/>
  <c r="AH6" i="2" s="1"/>
  <c r="AD6" i="2" a="1"/>
  <c r="AD6" i="2" s="1"/>
  <c r="AE6" i="2" s="1"/>
  <c r="AA6" i="2" a="1"/>
  <c r="AA6" i="2" s="1"/>
  <c r="AB6" i="2" s="1"/>
  <c r="X6" i="2" a="1"/>
  <c r="X6" i="2" s="1"/>
  <c r="Y6" i="2" s="1"/>
  <c r="AM30" i="2" a="1"/>
  <c r="AM30" i="2" s="1"/>
  <c r="AN30" i="2" s="1"/>
  <c r="AJ30" i="2" a="1"/>
  <c r="AJ30" i="2" s="1"/>
  <c r="AK30" i="2" s="1"/>
  <c r="AG30" i="2" a="1"/>
  <c r="AG30" i="2" s="1"/>
  <c r="AH30" i="2" s="1"/>
  <c r="AD30" i="2" a="1"/>
  <c r="AD30" i="2" s="1"/>
  <c r="AE30" i="2" s="1"/>
  <c r="AA30" i="2" a="1"/>
  <c r="AA30" i="2" s="1"/>
  <c r="AB30" i="2" s="1"/>
  <c r="X30" i="2" a="1"/>
  <c r="X30" i="2" s="1"/>
  <c r="Y30" i="2" s="1"/>
  <c r="AM29" i="2" a="1"/>
  <c r="AM29" i="2" s="1"/>
  <c r="AN29" i="2" s="1"/>
  <c r="AJ29" i="2" a="1"/>
  <c r="AJ29" i="2" s="1"/>
  <c r="AK29" i="2" s="1"/>
  <c r="AG29" i="2" a="1"/>
  <c r="AG29" i="2" s="1"/>
  <c r="AH29" i="2" s="1"/>
  <c r="AD29" i="2" a="1"/>
  <c r="AD29" i="2" s="1"/>
  <c r="AE29" i="2" s="1"/>
  <c r="AA29" i="2" a="1"/>
  <c r="AA29" i="2" s="1"/>
  <c r="AB29" i="2" s="1"/>
  <c r="X29" i="2" a="1"/>
  <c r="X29" i="2" s="1"/>
  <c r="Y29" i="2" s="1"/>
  <c r="AM28" i="2" a="1"/>
  <c r="AM28" i="2" s="1"/>
  <c r="AN28" i="2" s="1"/>
  <c r="AJ28" i="2" a="1"/>
  <c r="AJ28" i="2" s="1"/>
  <c r="AK28" i="2" s="1"/>
  <c r="AG28" i="2" a="1"/>
  <c r="AG28" i="2" s="1"/>
  <c r="AH28" i="2" s="1"/>
  <c r="AD28" i="2" a="1"/>
  <c r="AD28" i="2" s="1"/>
  <c r="AE28" i="2" s="1"/>
  <c r="AA28" i="2" a="1"/>
  <c r="AA28" i="2" s="1"/>
  <c r="AB28" i="2" s="1"/>
  <c r="X28" i="2" a="1"/>
  <c r="X28" i="2" s="1"/>
  <c r="Y28" i="2" s="1"/>
  <c r="AM27" i="2" a="1"/>
  <c r="AM27" i="2" s="1"/>
  <c r="AN27" i="2" s="1"/>
  <c r="AJ27" i="2" a="1"/>
  <c r="AJ27" i="2" s="1"/>
  <c r="AK27" i="2" s="1"/>
  <c r="AG27" i="2" a="1"/>
  <c r="AG27" i="2" s="1"/>
  <c r="AH27" i="2" s="1"/>
  <c r="AD27" i="2" a="1"/>
  <c r="AD27" i="2" s="1"/>
  <c r="AE27" i="2" s="1"/>
  <c r="AA27" i="2" a="1"/>
  <c r="AA27" i="2" s="1"/>
  <c r="AB27" i="2" s="1"/>
  <c r="X27" i="2" a="1"/>
  <c r="X27" i="2" s="1"/>
  <c r="Y27" i="2" s="1"/>
  <c r="AM26" i="2" a="1"/>
  <c r="AM26" i="2" s="1"/>
  <c r="AN26" i="2" s="1"/>
  <c r="AJ26" i="2" a="1"/>
  <c r="AJ26" i="2" s="1"/>
  <c r="AK26" i="2" s="1"/>
  <c r="AG26" i="2" a="1"/>
  <c r="AG26" i="2" s="1"/>
  <c r="AH26" i="2" s="1"/>
  <c r="AD26" i="2" a="1"/>
  <c r="AD26" i="2" s="1"/>
  <c r="AE26" i="2" s="1"/>
  <c r="AA26" i="2" a="1"/>
  <c r="AA26" i="2" s="1"/>
  <c r="AB26" i="2" s="1"/>
  <c r="X26" i="2" a="1"/>
  <c r="X26" i="2" s="1"/>
  <c r="Y26" i="2" s="1"/>
  <c r="AM37" i="2" a="1"/>
  <c r="AM37" i="2" s="1"/>
  <c r="AN37" i="2" s="1"/>
  <c r="AJ37" i="2" a="1"/>
  <c r="AJ37" i="2" s="1"/>
  <c r="AK37" i="2" s="1"/>
  <c r="AG37" i="2" a="1"/>
  <c r="AG37" i="2" s="1"/>
  <c r="AH37" i="2" s="1"/>
  <c r="AD37" i="2" a="1"/>
  <c r="AD37" i="2" s="1"/>
  <c r="AE37" i="2" s="1"/>
  <c r="AA37" i="2" a="1"/>
  <c r="AA37" i="2" s="1"/>
  <c r="AB37" i="2" s="1"/>
  <c r="X37" i="2" a="1"/>
  <c r="X37" i="2" s="1"/>
  <c r="Y37" i="2" s="1"/>
  <c r="AM36" i="2" a="1"/>
  <c r="AM36" i="2" s="1"/>
  <c r="AN36" i="2" s="1"/>
  <c r="AJ36" i="2" a="1"/>
  <c r="AJ36" i="2" s="1"/>
  <c r="AK36" i="2" s="1"/>
  <c r="AG36" i="2" a="1"/>
  <c r="AG36" i="2" s="1"/>
  <c r="AH36" i="2" s="1"/>
  <c r="AD36" i="2" a="1"/>
  <c r="AD36" i="2" s="1"/>
  <c r="AE36" i="2" s="1"/>
  <c r="AA36" i="2" a="1"/>
  <c r="AA36" i="2" s="1"/>
  <c r="AB36" i="2" s="1"/>
  <c r="X36" i="2" a="1"/>
  <c r="X36" i="2" s="1"/>
  <c r="Y36" i="2" s="1"/>
  <c r="AM35" i="2" a="1"/>
  <c r="AM35" i="2" s="1"/>
  <c r="AN35" i="2" s="1"/>
  <c r="AJ35" i="2" a="1"/>
  <c r="AJ35" i="2" s="1"/>
  <c r="AK35" i="2" s="1"/>
  <c r="AG35" i="2" a="1"/>
  <c r="AG35" i="2" s="1"/>
  <c r="AH35" i="2" s="1"/>
  <c r="AD35" i="2" a="1"/>
  <c r="AD35" i="2" s="1"/>
  <c r="AE35" i="2" s="1"/>
  <c r="AA35" i="2" a="1"/>
  <c r="AA35" i="2" s="1"/>
  <c r="AB35" i="2" s="1"/>
  <c r="X35" i="2" a="1"/>
  <c r="X35" i="2" s="1"/>
  <c r="Y35" i="2" s="1"/>
  <c r="AM34" i="2" a="1"/>
  <c r="AM34" i="2" s="1"/>
  <c r="AN34" i="2" s="1"/>
  <c r="AJ34" i="2" a="1"/>
  <c r="AJ34" i="2" s="1"/>
  <c r="AK34" i="2" s="1"/>
  <c r="AG34" i="2" a="1"/>
  <c r="AG34" i="2" s="1"/>
  <c r="AH34" i="2" s="1"/>
  <c r="AD34" i="2" a="1"/>
  <c r="AD34" i="2" s="1"/>
  <c r="AE34" i="2" s="1"/>
  <c r="AA34" i="2" a="1"/>
  <c r="AA34" i="2" s="1"/>
  <c r="AB34" i="2" s="1"/>
  <c r="X34" i="2" a="1"/>
  <c r="X34" i="2" s="1"/>
  <c r="Y34" i="2" s="1"/>
  <c r="AM33" i="2" a="1"/>
  <c r="AM33" i="2" s="1"/>
  <c r="AN33" i="2" s="1"/>
  <c r="AJ33" i="2" a="1"/>
  <c r="AJ33" i="2" s="1"/>
  <c r="AK33" i="2" s="1"/>
  <c r="AG33" i="2" a="1"/>
  <c r="AG33" i="2" s="1"/>
  <c r="AH33" i="2" s="1"/>
  <c r="AD33" i="2" a="1"/>
  <c r="AD33" i="2" s="1"/>
  <c r="AE33" i="2" s="1"/>
  <c r="AA33" i="2" a="1"/>
  <c r="AA33" i="2" s="1"/>
  <c r="AB33" i="2" s="1"/>
  <c r="X33" i="2" a="1"/>
  <c r="X33" i="2" s="1"/>
  <c r="Y33" i="2" s="1"/>
  <c r="AM32" i="2" a="1"/>
  <c r="AM32" i="2" s="1"/>
  <c r="AN32" i="2" s="1"/>
  <c r="AJ32" i="2" a="1"/>
  <c r="AJ32" i="2" s="1"/>
  <c r="AK32" i="2" s="1"/>
  <c r="AG32" i="2" a="1"/>
  <c r="AG32" i="2" s="1"/>
  <c r="AH32" i="2" s="1"/>
  <c r="AD32" i="2" a="1"/>
  <c r="AD32" i="2" s="1"/>
  <c r="AE32" i="2" s="1"/>
  <c r="AA32" i="2" a="1"/>
  <c r="AA32" i="2" s="1"/>
  <c r="AB32" i="2" s="1"/>
  <c r="X32" i="2" a="1"/>
  <c r="X32" i="2" s="1"/>
  <c r="Y32" i="2" s="1"/>
  <c r="AM31" i="2" a="1"/>
  <c r="AM31" i="2" s="1"/>
  <c r="AN31" i="2" s="1"/>
  <c r="AJ31" i="2" a="1"/>
  <c r="AJ31" i="2" s="1"/>
  <c r="AK31" i="2" s="1"/>
  <c r="AG31" i="2" a="1"/>
  <c r="AG31" i="2" s="1"/>
  <c r="AH31" i="2" s="1"/>
  <c r="AD31" i="2" a="1"/>
  <c r="AD31" i="2" s="1"/>
  <c r="AE31" i="2" s="1"/>
  <c r="AA31" i="2" a="1"/>
  <c r="AA31" i="2" s="1"/>
  <c r="AB31" i="2" s="1"/>
  <c r="X31" i="2" a="1"/>
  <c r="X31" i="2" s="1"/>
  <c r="Y31" i="2" s="1"/>
  <c r="AM46" i="2" a="1"/>
  <c r="AM46" i="2" s="1"/>
  <c r="AN46" i="2" s="1"/>
  <c r="AJ46" i="2" a="1"/>
  <c r="AJ46" i="2" s="1"/>
  <c r="AK46" i="2" s="1"/>
  <c r="AG46" i="2" a="1"/>
  <c r="AG46" i="2" s="1"/>
  <c r="AH46" i="2" s="1"/>
  <c r="AD46" i="2" a="1"/>
  <c r="AD46" i="2" s="1"/>
  <c r="AE46" i="2" s="1"/>
  <c r="AA46" i="2" a="1"/>
  <c r="AA46" i="2" s="1"/>
  <c r="AB46" i="2" s="1"/>
  <c r="X46" i="2" a="1"/>
  <c r="X46" i="2" s="1"/>
  <c r="Y46" i="2" s="1"/>
  <c r="AM45" i="2" a="1"/>
  <c r="AM45" i="2" s="1"/>
  <c r="AN45" i="2" s="1"/>
  <c r="AJ45" i="2" a="1"/>
  <c r="AJ45" i="2" s="1"/>
  <c r="AK45" i="2" s="1"/>
  <c r="AG45" i="2" a="1"/>
  <c r="AG45" i="2" s="1"/>
  <c r="AH45" i="2" s="1"/>
  <c r="AD45" i="2" a="1"/>
  <c r="AD45" i="2" s="1"/>
  <c r="AE45" i="2" s="1"/>
  <c r="AA45" i="2" a="1"/>
  <c r="AA45" i="2" s="1"/>
  <c r="AB45" i="2" s="1"/>
  <c r="X45" i="2" a="1"/>
  <c r="X45" i="2" s="1"/>
  <c r="Y45" i="2" s="1"/>
  <c r="AM44" i="2" a="1"/>
  <c r="AM44" i="2" s="1"/>
  <c r="AN44" i="2" s="1"/>
  <c r="AJ44" i="2" a="1"/>
  <c r="AJ44" i="2" s="1"/>
  <c r="AK44" i="2" s="1"/>
  <c r="AG44" i="2" a="1"/>
  <c r="AG44" i="2" s="1"/>
  <c r="AH44" i="2" s="1"/>
  <c r="AD44" i="2" a="1"/>
  <c r="AD44" i="2" s="1"/>
  <c r="AE44" i="2" s="1"/>
  <c r="AA44" i="2" a="1"/>
  <c r="AA44" i="2" s="1"/>
  <c r="AB44" i="2" s="1"/>
  <c r="X44" i="2" a="1"/>
  <c r="X44" i="2" s="1"/>
  <c r="Y44" i="2" s="1"/>
  <c r="AM43" i="2" a="1"/>
  <c r="AM43" i="2" s="1"/>
  <c r="AN43" i="2" s="1"/>
  <c r="AJ43" i="2" a="1"/>
  <c r="AJ43" i="2" s="1"/>
  <c r="AK43" i="2" s="1"/>
  <c r="AG43" i="2" a="1"/>
  <c r="AG43" i="2" s="1"/>
  <c r="AH43" i="2" s="1"/>
  <c r="AD43" i="2" a="1"/>
  <c r="AD43" i="2" s="1"/>
  <c r="AE43" i="2" s="1"/>
  <c r="AA43" i="2" a="1"/>
  <c r="AA43" i="2" s="1"/>
  <c r="AB43" i="2" s="1"/>
  <c r="X43" i="2" a="1"/>
  <c r="X43" i="2" s="1"/>
  <c r="Y43" i="2" s="1"/>
  <c r="AM42" i="2" a="1"/>
  <c r="AM42" i="2" s="1"/>
  <c r="AN42" i="2" s="1"/>
  <c r="AJ42" i="2" a="1"/>
  <c r="AJ42" i="2" s="1"/>
  <c r="AK42" i="2" s="1"/>
  <c r="AG42" i="2" a="1"/>
  <c r="AG42" i="2" s="1"/>
  <c r="AH42" i="2" s="1"/>
  <c r="AD42" i="2" a="1"/>
  <c r="AD42" i="2" s="1"/>
  <c r="AE42" i="2" s="1"/>
  <c r="AA42" i="2" a="1"/>
  <c r="AA42" i="2" s="1"/>
  <c r="AB42" i="2" s="1"/>
  <c r="X42" i="2" a="1"/>
  <c r="X42" i="2" s="1"/>
  <c r="Y42" i="2" s="1"/>
  <c r="AM41" i="2" a="1"/>
  <c r="AM41" i="2" s="1"/>
  <c r="AN41" i="2" s="1"/>
  <c r="AJ41" i="2" a="1"/>
  <c r="AJ41" i="2" s="1"/>
  <c r="AK41" i="2" s="1"/>
  <c r="AG41" i="2" a="1"/>
  <c r="AG41" i="2" s="1"/>
  <c r="AH41" i="2" s="1"/>
  <c r="AD41" i="2" a="1"/>
  <c r="AD41" i="2" s="1"/>
  <c r="AE41" i="2" s="1"/>
  <c r="AA41" i="2" a="1"/>
  <c r="AA41" i="2" s="1"/>
  <c r="AB41" i="2" s="1"/>
  <c r="X41" i="2" a="1"/>
  <c r="X41" i="2" s="1"/>
  <c r="Y41" i="2" s="1"/>
  <c r="AM40" i="2" a="1"/>
  <c r="AM40" i="2" s="1"/>
  <c r="AN40" i="2" s="1"/>
  <c r="AJ40" i="2" a="1"/>
  <c r="AJ40" i="2" s="1"/>
  <c r="AK40" i="2" s="1"/>
  <c r="AG40" i="2" a="1"/>
  <c r="AG40" i="2" s="1"/>
  <c r="AH40" i="2" s="1"/>
  <c r="AD40" i="2" a="1"/>
  <c r="AD40" i="2" s="1"/>
  <c r="AE40" i="2" s="1"/>
  <c r="AA40" i="2" a="1"/>
  <c r="AA40" i="2" s="1"/>
  <c r="AB40" i="2" s="1"/>
  <c r="X40" i="2" a="1"/>
  <c r="X40" i="2" s="1"/>
  <c r="Y40" i="2" s="1"/>
  <c r="AM39" i="2" a="1"/>
  <c r="AM39" i="2" s="1"/>
  <c r="AN39" i="2" s="1"/>
  <c r="AJ39" i="2" a="1"/>
  <c r="AJ39" i="2" s="1"/>
  <c r="AK39" i="2" s="1"/>
  <c r="AG39" i="2" a="1"/>
  <c r="AG39" i="2" s="1"/>
  <c r="AH39" i="2" s="1"/>
  <c r="AD39" i="2" a="1"/>
  <c r="AD39" i="2" s="1"/>
  <c r="AE39" i="2" s="1"/>
  <c r="AA39" i="2" a="1"/>
  <c r="AA39" i="2" s="1"/>
  <c r="AB39" i="2" s="1"/>
  <c r="X39" i="2"/>
  <c r="Y39" i="2" s="1"/>
  <c r="X39" i="2" a="1"/>
  <c r="AM38" i="2" a="1"/>
  <c r="AM38" i="2" s="1"/>
  <c r="AN38" i="2" s="1"/>
  <c r="AJ38" i="2" a="1"/>
  <c r="AJ38" i="2" s="1"/>
  <c r="AK38" i="2" s="1"/>
  <c r="AG38" i="2" a="1"/>
  <c r="AG38" i="2" s="1"/>
  <c r="AH38" i="2" s="1"/>
  <c r="AD38" i="2" a="1"/>
  <c r="AD38" i="2" s="1"/>
  <c r="AE38" i="2" s="1"/>
  <c r="AA38" i="2" a="1"/>
  <c r="AA38" i="2" s="1"/>
  <c r="AB38" i="2" s="1"/>
  <c r="X38" i="2" a="1"/>
  <c r="X38" i="2" s="1"/>
  <c r="Y38" i="2" s="1"/>
  <c r="AM66" i="2" a="1"/>
  <c r="AM66" i="2" s="1"/>
  <c r="AN66" i="2" s="1"/>
  <c r="AJ66" i="2" a="1"/>
  <c r="AJ66" i="2" s="1"/>
  <c r="AK66" i="2" s="1"/>
  <c r="AG66" i="2" a="1"/>
  <c r="AG66" i="2" s="1"/>
  <c r="AH66" i="2" s="1"/>
  <c r="AD66" i="2" a="1"/>
  <c r="AD66" i="2" s="1"/>
  <c r="AE66" i="2" s="1"/>
  <c r="AA66" i="2" a="1"/>
  <c r="AA66" i="2" s="1"/>
  <c r="AB66" i="2" s="1"/>
  <c r="X66" i="2" a="1"/>
  <c r="X66" i="2" s="1"/>
  <c r="Y66" i="2" s="1"/>
  <c r="AM65" i="2" a="1"/>
  <c r="AM65" i="2" s="1"/>
  <c r="AN65" i="2" s="1"/>
  <c r="AJ65" i="2" a="1"/>
  <c r="AJ65" i="2" s="1"/>
  <c r="AK65" i="2" s="1"/>
  <c r="AG65" i="2" a="1"/>
  <c r="AG65" i="2" s="1"/>
  <c r="AH65" i="2" s="1"/>
  <c r="AD65" i="2" a="1"/>
  <c r="AD65" i="2" s="1"/>
  <c r="AE65" i="2" s="1"/>
  <c r="AA65" i="2" a="1"/>
  <c r="AA65" i="2" s="1"/>
  <c r="AB65" i="2" s="1"/>
  <c r="X65" i="2" a="1"/>
  <c r="X65" i="2" s="1"/>
  <c r="Y65" i="2" s="1"/>
  <c r="AM64" i="2" a="1"/>
  <c r="AM64" i="2" s="1"/>
  <c r="AN64" i="2" s="1"/>
  <c r="AJ64" i="2" a="1"/>
  <c r="AJ64" i="2" s="1"/>
  <c r="AK64" i="2" s="1"/>
  <c r="AG64" i="2" a="1"/>
  <c r="AG64" i="2" s="1"/>
  <c r="AH64" i="2" s="1"/>
  <c r="AD64" i="2" a="1"/>
  <c r="AD64" i="2" s="1"/>
  <c r="AE64" i="2" s="1"/>
  <c r="AA64" i="2" a="1"/>
  <c r="AA64" i="2" s="1"/>
  <c r="AB64" i="2" s="1"/>
  <c r="X64" i="2" a="1"/>
  <c r="X64" i="2" s="1"/>
  <c r="Y64" i="2" s="1"/>
  <c r="AM63" i="2" a="1"/>
  <c r="AM63" i="2" s="1"/>
  <c r="AN63" i="2" s="1"/>
  <c r="AJ63" i="2" a="1"/>
  <c r="AJ63" i="2" s="1"/>
  <c r="AK63" i="2" s="1"/>
  <c r="AG63" i="2" a="1"/>
  <c r="AG63" i="2" s="1"/>
  <c r="AH63" i="2" s="1"/>
  <c r="AD63" i="2" a="1"/>
  <c r="AD63" i="2" s="1"/>
  <c r="AE63" i="2" s="1"/>
  <c r="AA63" i="2" a="1"/>
  <c r="AA63" i="2" s="1"/>
  <c r="AB63" i="2" s="1"/>
  <c r="X63" i="2" a="1"/>
  <c r="X63" i="2" s="1"/>
  <c r="Y63" i="2" s="1"/>
  <c r="AM62" i="2" a="1"/>
  <c r="AM62" i="2" s="1"/>
  <c r="AN62" i="2" s="1"/>
  <c r="AJ62" i="2" a="1"/>
  <c r="AJ62" i="2" s="1"/>
  <c r="AK62" i="2" s="1"/>
  <c r="AG62" i="2" a="1"/>
  <c r="AG62" i="2" s="1"/>
  <c r="AH62" i="2" s="1"/>
  <c r="AD62" i="2" a="1"/>
  <c r="AD62" i="2" s="1"/>
  <c r="AE62" i="2" s="1"/>
  <c r="AA62" i="2" a="1"/>
  <c r="AA62" i="2" s="1"/>
  <c r="AB62" i="2" s="1"/>
  <c r="X62" i="2" a="1"/>
  <c r="X62" i="2" s="1"/>
  <c r="Y62" i="2" s="1"/>
  <c r="AM61" i="2" a="1"/>
  <c r="AM61" i="2" s="1"/>
  <c r="AN61" i="2" s="1"/>
  <c r="AJ61" i="2" a="1"/>
  <c r="AJ61" i="2" s="1"/>
  <c r="AK61" i="2" s="1"/>
  <c r="AG61" i="2" a="1"/>
  <c r="AG61" i="2" s="1"/>
  <c r="AH61" i="2" s="1"/>
  <c r="AD61" i="2" a="1"/>
  <c r="AD61" i="2" s="1"/>
  <c r="AE61" i="2" s="1"/>
  <c r="AA61" i="2" a="1"/>
  <c r="AA61" i="2" s="1"/>
  <c r="AB61" i="2" s="1"/>
  <c r="X61" i="2" a="1"/>
  <c r="X61" i="2" s="1"/>
  <c r="Y61" i="2" s="1"/>
  <c r="AM60" i="2" a="1"/>
  <c r="AM60" i="2" s="1"/>
  <c r="AN60" i="2" s="1"/>
  <c r="AJ60" i="2" a="1"/>
  <c r="AJ60" i="2" s="1"/>
  <c r="AK60" i="2" s="1"/>
  <c r="AG60" i="2" a="1"/>
  <c r="AG60" i="2" s="1"/>
  <c r="AH60" i="2" s="1"/>
  <c r="AD60" i="2" a="1"/>
  <c r="AD60" i="2" s="1"/>
  <c r="AE60" i="2" s="1"/>
  <c r="AA60" i="2"/>
  <c r="AB60" i="2" s="1"/>
  <c r="AA60" i="2" a="1"/>
  <c r="X60" i="2" a="1"/>
  <c r="X60" i="2" s="1"/>
  <c r="Y60" i="2" s="1"/>
  <c r="AM59" i="2" a="1"/>
  <c r="AM59" i="2" s="1"/>
  <c r="AN59" i="2" s="1"/>
  <c r="AJ59" i="2"/>
  <c r="AJ59" i="2" a="1"/>
  <c r="AG59" i="2" a="1"/>
  <c r="AG59" i="2" s="1"/>
  <c r="AH59" i="2" s="1"/>
  <c r="AD59" i="2" a="1"/>
  <c r="AD59" i="2" s="1"/>
  <c r="AE59" i="2" s="1"/>
  <c r="AA59" i="2" a="1"/>
  <c r="AA59" i="2" s="1"/>
  <c r="AB59" i="2" s="1"/>
  <c r="X59" i="2" a="1"/>
  <c r="X59" i="2" s="1"/>
  <c r="Y59" i="2" s="1"/>
  <c r="AM58" i="2" a="1"/>
  <c r="AM58" i="2" s="1"/>
  <c r="AN58" i="2" s="1"/>
  <c r="AJ58" i="2" a="1"/>
  <c r="AJ58" i="2" s="1"/>
  <c r="AK58" i="2" s="1"/>
  <c r="AG58" i="2" a="1"/>
  <c r="AG58" i="2" s="1"/>
  <c r="AH58" i="2" s="1"/>
  <c r="AD58" i="2" a="1"/>
  <c r="AD58" i="2" s="1"/>
  <c r="AE58" i="2" s="1"/>
  <c r="AA58" i="2" a="1"/>
  <c r="AA58" i="2" s="1"/>
  <c r="AB58" i="2" s="1"/>
  <c r="X58" i="2" a="1"/>
  <c r="X58" i="2" s="1"/>
  <c r="Y58" i="2" s="1"/>
  <c r="AM57" i="2" a="1"/>
  <c r="AM57" i="2" s="1"/>
  <c r="AN57" i="2" s="1"/>
  <c r="AJ57" i="2" a="1"/>
  <c r="AJ57" i="2" s="1"/>
  <c r="AK57" i="2" s="1"/>
  <c r="AG57" i="2" a="1"/>
  <c r="AG57" i="2" s="1"/>
  <c r="AH57" i="2" s="1"/>
  <c r="AD57" i="2" a="1"/>
  <c r="AD57" i="2" s="1"/>
  <c r="AE57" i="2" s="1"/>
  <c r="AA57" i="2" a="1"/>
  <c r="AA57" i="2" s="1"/>
  <c r="AB57" i="2" s="1"/>
  <c r="X57" i="2" a="1"/>
  <c r="X57" i="2" s="1"/>
  <c r="Y57" i="2" s="1"/>
  <c r="AM56" i="2" a="1"/>
  <c r="AM56" i="2" s="1"/>
  <c r="AN56" i="2" s="1"/>
  <c r="AJ56" i="2" a="1"/>
  <c r="AJ56" i="2" s="1"/>
  <c r="AK56" i="2" s="1"/>
  <c r="AG56" i="2" a="1"/>
  <c r="AG56" i="2" s="1"/>
  <c r="AH56" i="2" s="1"/>
  <c r="AD56" i="2" a="1"/>
  <c r="AD56" i="2" s="1"/>
  <c r="AE56" i="2" s="1"/>
  <c r="AA56" i="2" a="1"/>
  <c r="AA56" i="2" s="1"/>
  <c r="AB56" i="2" s="1"/>
  <c r="X56" i="2" a="1"/>
  <c r="X56" i="2" s="1"/>
  <c r="Y56" i="2" s="1"/>
  <c r="AM55" i="2" a="1"/>
  <c r="AM55" i="2" s="1"/>
  <c r="AN55" i="2" s="1"/>
  <c r="AJ55" i="2" a="1"/>
  <c r="AJ55" i="2" s="1"/>
  <c r="AK55" i="2" s="1"/>
  <c r="AG55" i="2" a="1"/>
  <c r="AG55" i="2" s="1"/>
  <c r="AH55" i="2" s="1"/>
  <c r="AD55" i="2" a="1"/>
  <c r="AD55" i="2" s="1"/>
  <c r="AE55" i="2" s="1"/>
  <c r="AA55" i="2" a="1"/>
  <c r="AA55" i="2" s="1"/>
  <c r="AB55" i="2" s="1"/>
  <c r="X55" i="2" a="1"/>
  <c r="X55" i="2" s="1"/>
  <c r="Y55" i="2" s="1"/>
  <c r="AM54" i="2" a="1"/>
  <c r="AM54" i="2" s="1"/>
  <c r="AN54" i="2" s="1"/>
  <c r="AJ54" i="2" a="1"/>
  <c r="AJ54" i="2" s="1"/>
  <c r="AK54" i="2" s="1"/>
  <c r="AG54" i="2" a="1"/>
  <c r="AG54" i="2" s="1"/>
  <c r="AH54" i="2" s="1"/>
  <c r="AD54" i="2" a="1"/>
  <c r="AD54" i="2" s="1"/>
  <c r="AE54" i="2" s="1"/>
  <c r="AA54" i="2" a="1"/>
  <c r="AA54" i="2" s="1"/>
  <c r="AB54" i="2" s="1"/>
  <c r="X54" i="2" a="1"/>
  <c r="X54" i="2" s="1"/>
  <c r="Y54" i="2" s="1"/>
  <c r="AM53" i="2" a="1"/>
  <c r="AM53" i="2" s="1"/>
  <c r="AN53" i="2" s="1"/>
  <c r="AJ53" i="2" a="1"/>
  <c r="AJ53" i="2" s="1"/>
  <c r="AK53" i="2" s="1"/>
  <c r="AG53" i="2" a="1"/>
  <c r="AG53" i="2" s="1"/>
  <c r="AH53" i="2" s="1"/>
  <c r="AD53" i="2" a="1"/>
  <c r="AD53" i="2" s="1"/>
  <c r="AE53" i="2" s="1"/>
  <c r="AA53" i="2" a="1"/>
  <c r="AA53" i="2" s="1"/>
  <c r="AB53" i="2" s="1"/>
  <c r="X53" i="2" a="1"/>
  <c r="X53" i="2" s="1"/>
  <c r="Y53" i="2" s="1"/>
  <c r="AM52" i="2" a="1"/>
  <c r="AM52" i="2" s="1"/>
  <c r="AN52" i="2" s="1"/>
  <c r="AJ52" i="2" a="1"/>
  <c r="AJ52" i="2" s="1"/>
  <c r="AK52" i="2" s="1"/>
  <c r="AG52" i="2" a="1"/>
  <c r="AG52" i="2" s="1"/>
  <c r="AH52" i="2" s="1"/>
  <c r="AD52" i="2" a="1"/>
  <c r="AD52" i="2" s="1"/>
  <c r="AE52" i="2" s="1"/>
  <c r="AA52" i="2" a="1"/>
  <c r="AA52" i="2" s="1"/>
  <c r="AB52" i="2" s="1"/>
  <c r="X52" i="2" a="1"/>
  <c r="X52" i="2" s="1"/>
  <c r="Y52" i="2" s="1"/>
  <c r="AM51" i="2" a="1"/>
  <c r="AM51" i="2" s="1"/>
  <c r="AN51" i="2" s="1"/>
  <c r="AJ51" i="2"/>
  <c r="AJ51" i="2" a="1"/>
  <c r="AG51" i="2" a="1"/>
  <c r="AG51" i="2" s="1"/>
  <c r="AH51" i="2" s="1"/>
  <c r="AD51" i="2" a="1"/>
  <c r="AD51" i="2" s="1"/>
  <c r="AE51" i="2" s="1"/>
  <c r="AA51" i="2" a="1"/>
  <c r="AA51" i="2" s="1"/>
  <c r="AB51" i="2" s="1"/>
  <c r="X51" i="2" a="1"/>
  <c r="X51" i="2" s="1"/>
  <c r="Y51" i="2" s="1"/>
  <c r="AM50" i="2" a="1"/>
  <c r="AM50" i="2" s="1"/>
  <c r="AN50" i="2" s="1"/>
  <c r="AJ50" i="2" a="1"/>
  <c r="AJ50" i="2" s="1"/>
  <c r="AK50" i="2" s="1"/>
  <c r="AG50" i="2" a="1"/>
  <c r="AG50" i="2" s="1"/>
  <c r="AH50" i="2" s="1"/>
  <c r="AD50" i="2" a="1"/>
  <c r="AD50" i="2" s="1"/>
  <c r="AE50" i="2" s="1"/>
  <c r="AA50" i="2" a="1"/>
  <c r="AA50" i="2" s="1"/>
  <c r="AB50" i="2" s="1"/>
  <c r="X50" i="2" a="1"/>
  <c r="X50" i="2" s="1"/>
  <c r="Y50" i="2" s="1"/>
  <c r="AM49" i="2" a="1"/>
  <c r="AM49" i="2" s="1"/>
  <c r="AN49" i="2" s="1"/>
  <c r="AJ49" i="2" a="1"/>
  <c r="AJ49" i="2" s="1"/>
  <c r="AK49" i="2" s="1"/>
  <c r="AG49" i="2" a="1"/>
  <c r="AG49" i="2" s="1"/>
  <c r="AH49" i="2" s="1"/>
  <c r="AD49" i="2" a="1"/>
  <c r="AD49" i="2" s="1"/>
  <c r="AE49" i="2" s="1"/>
  <c r="AA49" i="2" a="1"/>
  <c r="AA49" i="2" s="1"/>
  <c r="AB49" i="2" s="1"/>
  <c r="X49" i="2" a="1"/>
  <c r="X49" i="2" s="1"/>
  <c r="Y49" i="2" s="1"/>
  <c r="AM48" i="2" a="1"/>
  <c r="AM48" i="2" s="1"/>
  <c r="AN48" i="2" s="1"/>
  <c r="AJ48" i="2" a="1"/>
  <c r="AJ48" i="2" s="1"/>
  <c r="AK48" i="2" s="1"/>
  <c r="AG48" i="2" a="1"/>
  <c r="AG48" i="2" s="1"/>
  <c r="AH48" i="2" s="1"/>
  <c r="AD48" i="2" a="1"/>
  <c r="AD48" i="2" s="1"/>
  <c r="AE48" i="2" s="1"/>
  <c r="AA48" i="2" a="1"/>
  <c r="AA48" i="2" s="1"/>
  <c r="AB48" i="2" s="1"/>
  <c r="X48" i="2" a="1"/>
  <c r="X48" i="2" s="1"/>
  <c r="Y48" i="2" s="1"/>
  <c r="AM47" i="2" a="1"/>
  <c r="AM47" i="2" s="1"/>
  <c r="AN47" i="2" s="1"/>
  <c r="AJ47" i="2" a="1"/>
  <c r="AJ47" i="2" s="1"/>
  <c r="AK47" i="2" s="1"/>
  <c r="AG47" i="2" a="1"/>
  <c r="AG47" i="2" s="1"/>
  <c r="AH47" i="2" s="1"/>
  <c r="AD47" i="2" a="1"/>
  <c r="AD47" i="2" s="1"/>
  <c r="AE47" i="2" s="1"/>
  <c r="AA47" i="2" a="1"/>
  <c r="AA47" i="2" s="1"/>
  <c r="AB47" i="2" s="1"/>
  <c r="X47" i="2" a="1"/>
  <c r="X47" i="2" s="1"/>
  <c r="Y47" i="2" s="1"/>
  <c r="AM72" i="2" a="1"/>
  <c r="AM72" i="2" s="1"/>
  <c r="AN72" i="2" s="1"/>
  <c r="AJ72" i="2" a="1"/>
  <c r="AJ72" i="2" s="1"/>
  <c r="AK72" i="2" s="1"/>
  <c r="AG72" i="2" a="1"/>
  <c r="AG72" i="2" s="1"/>
  <c r="AH72" i="2" s="1"/>
  <c r="AD72" i="2" a="1"/>
  <c r="AD72" i="2" s="1"/>
  <c r="AE72" i="2" s="1"/>
  <c r="AA72" i="2" a="1"/>
  <c r="AA72" i="2" s="1"/>
  <c r="AB72" i="2" s="1"/>
  <c r="X72" i="2" a="1"/>
  <c r="X72" i="2" s="1"/>
  <c r="Y72" i="2" s="1"/>
  <c r="AM71" i="2" a="1"/>
  <c r="AM71" i="2" s="1"/>
  <c r="AN71" i="2" s="1"/>
  <c r="AJ71" i="2" a="1"/>
  <c r="AJ71" i="2" s="1"/>
  <c r="AK71" i="2" s="1"/>
  <c r="AG71" i="2" a="1"/>
  <c r="AG71" i="2" s="1"/>
  <c r="AH71" i="2" s="1"/>
  <c r="AD71" i="2" a="1"/>
  <c r="AD71" i="2" s="1"/>
  <c r="AE71" i="2" s="1"/>
  <c r="AA71" i="2" a="1"/>
  <c r="AA71" i="2" s="1"/>
  <c r="AB71" i="2" s="1"/>
  <c r="X71" i="2" a="1"/>
  <c r="X71" i="2" s="1"/>
  <c r="Y71" i="2" s="1"/>
  <c r="AM70" i="2" a="1"/>
  <c r="AM70" i="2" s="1"/>
  <c r="AN70" i="2" s="1"/>
  <c r="AJ70" i="2" a="1"/>
  <c r="AJ70" i="2" s="1"/>
  <c r="AK70" i="2" s="1"/>
  <c r="AG70" i="2" a="1"/>
  <c r="AG70" i="2" s="1"/>
  <c r="AH70" i="2" s="1"/>
  <c r="AD70" i="2" a="1"/>
  <c r="AD70" i="2" s="1"/>
  <c r="AE70" i="2" s="1"/>
  <c r="AA70" i="2" a="1"/>
  <c r="AA70" i="2" s="1"/>
  <c r="AB70" i="2" s="1"/>
  <c r="X70" i="2" a="1"/>
  <c r="X70" i="2" s="1"/>
  <c r="Y70" i="2" s="1"/>
  <c r="AM69" i="2" a="1"/>
  <c r="AM69" i="2" s="1"/>
  <c r="AN69" i="2" s="1"/>
  <c r="AJ69" i="2" a="1"/>
  <c r="AJ69" i="2" s="1"/>
  <c r="AK69" i="2" s="1"/>
  <c r="AG69" i="2" a="1"/>
  <c r="AG69" i="2" s="1"/>
  <c r="AH69" i="2" s="1"/>
  <c r="AD69" i="2" a="1"/>
  <c r="AD69" i="2" s="1"/>
  <c r="AE69" i="2" s="1"/>
  <c r="AA69" i="2" a="1"/>
  <c r="AA69" i="2" s="1"/>
  <c r="AB69" i="2" s="1"/>
  <c r="X69" i="2" a="1"/>
  <c r="X69" i="2" s="1"/>
  <c r="Y69" i="2" s="1"/>
  <c r="AM68" i="2" a="1"/>
  <c r="AM68" i="2" s="1"/>
  <c r="AN68" i="2" s="1"/>
  <c r="AJ68" i="2" a="1"/>
  <c r="AJ68" i="2" s="1"/>
  <c r="AK68" i="2" s="1"/>
  <c r="AG68" i="2" a="1"/>
  <c r="AG68" i="2" s="1"/>
  <c r="AH68" i="2" s="1"/>
  <c r="AD68" i="2" a="1"/>
  <c r="AD68" i="2" s="1"/>
  <c r="AE68" i="2" s="1"/>
  <c r="AA68" i="2" a="1"/>
  <c r="AA68" i="2" s="1"/>
  <c r="AB68" i="2" s="1"/>
  <c r="X68" i="2" a="1"/>
  <c r="X68" i="2" s="1"/>
  <c r="Y68" i="2" s="1"/>
  <c r="AM67" i="2" a="1"/>
  <c r="AM67" i="2" s="1"/>
  <c r="AN67" i="2" s="1"/>
  <c r="AJ67" i="2" a="1"/>
  <c r="AJ67" i="2" s="1"/>
  <c r="AK67" i="2" s="1"/>
  <c r="AG67" i="2" a="1"/>
  <c r="AG67" i="2" s="1"/>
  <c r="AH67" i="2" s="1"/>
  <c r="AD67" i="2" a="1"/>
  <c r="AD67" i="2" s="1"/>
  <c r="AE67" i="2" s="1"/>
  <c r="AA67" i="2" a="1"/>
  <c r="AA67" i="2" s="1"/>
  <c r="AB67" i="2" s="1"/>
  <c r="X67" i="2" a="1"/>
  <c r="X67" i="2" s="1"/>
  <c r="Y67" i="2" s="1"/>
  <c r="AM77" i="2" a="1"/>
  <c r="AM77" i="2" s="1"/>
  <c r="AN77" i="2" s="1"/>
  <c r="AJ77" i="2" a="1"/>
  <c r="AJ77" i="2" s="1"/>
  <c r="AK77" i="2" s="1"/>
  <c r="AG77" i="2" a="1"/>
  <c r="AG77" i="2" s="1"/>
  <c r="AH77" i="2" s="1"/>
  <c r="AD77" i="2" a="1"/>
  <c r="AD77" i="2" s="1"/>
  <c r="AE77" i="2" s="1"/>
  <c r="AA77" i="2" a="1"/>
  <c r="AA77" i="2" s="1"/>
  <c r="AB77" i="2" s="1"/>
  <c r="X77" i="2" a="1"/>
  <c r="X77" i="2" s="1"/>
  <c r="Y77" i="2" s="1"/>
  <c r="AM76" i="2" a="1"/>
  <c r="AM76" i="2" s="1"/>
  <c r="AN76" i="2" s="1"/>
  <c r="AJ76" i="2" a="1"/>
  <c r="AJ76" i="2" s="1"/>
  <c r="AK76" i="2" s="1"/>
  <c r="AG76" i="2" a="1"/>
  <c r="AG76" i="2" s="1"/>
  <c r="AH76" i="2" s="1"/>
  <c r="AD76" i="2" a="1"/>
  <c r="AD76" i="2" s="1"/>
  <c r="AE76" i="2" s="1"/>
  <c r="AA76" i="2" a="1"/>
  <c r="AA76" i="2" s="1"/>
  <c r="AB76" i="2" s="1"/>
  <c r="X76" i="2" a="1"/>
  <c r="X76" i="2" s="1"/>
  <c r="Y76" i="2" s="1"/>
  <c r="AM75" i="2" a="1"/>
  <c r="AM75" i="2" s="1"/>
  <c r="AN75" i="2" s="1"/>
  <c r="AJ75" i="2" a="1"/>
  <c r="AJ75" i="2" s="1"/>
  <c r="AK75" i="2" s="1"/>
  <c r="AG75" i="2" a="1"/>
  <c r="AG75" i="2" s="1"/>
  <c r="AH75" i="2" s="1"/>
  <c r="AD75" i="2" a="1"/>
  <c r="AD75" i="2" s="1"/>
  <c r="AE75" i="2" s="1"/>
  <c r="AA75" i="2" a="1"/>
  <c r="AA75" i="2" s="1"/>
  <c r="AB75" i="2" s="1"/>
  <c r="X75" i="2" a="1"/>
  <c r="X75" i="2" s="1"/>
  <c r="Y75" i="2" s="1"/>
  <c r="AM74" i="2" a="1"/>
  <c r="AM74" i="2" s="1"/>
  <c r="AN74" i="2" s="1"/>
  <c r="AJ74" i="2"/>
  <c r="AK74" i="2" s="1"/>
  <c r="AJ74" i="2" a="1"/>
  <c r="AG74" i="2" a="1"/>
  <c r="AG74" i="2" s="1"/>
  <c r="AH74" i="2" s="1"/>
  <c r="AD74" i="2" a="1"/>
  <c r="AD74" i="2" s="1"/>
  <c r="AE74" i="2" s="1"/>
  <c r="AA74" i="2" a="1"/>
  <c r="AA74" i="2" s="1"/>
  <c r="AB74" i="2" s="1"/>
  <c r="X74" i="2" a="1"/>
  <c r="X74" i="2" s="1"/>
  <c r="Y74" i="2" s="1"/>
  <c r="AM73" i="2" a="1"/>
  <c r="AM73" i="2" s="1"/>
  <c r="AN73" i="2" s="1"/>
  <c r="AJ73" i="2" a="1"/>
  <c r="AJ73" i="2" s="1"/>
  <c r="AK73" i="2" s="1"/>
  <c r="AG73" i="2" a="1"/>
  <c r="AG73" i="2" s="1"/>
  <c r="AH73" i="2" s="1"/>
  <c r="AD73" i="2" a="1"/>
  <c r="AD73" i="2" s="1"/>
  <c r="AE73" i="2" s="1"/>
  <c r="AA73" i="2" a="1"/>
  <c r="AA73" i="2" s="1"/>
  <c r="AB73" i="2" s="1"/>
  <c r="X73" i="2" a="1"/>
  <c r="X73" i="2" s="1"/>
  <c r="Y73" i="2" s="1"/>
  <c r="AM80" i="2" a="1"/>
  <c r="AM80" i="2" s="1"/>
  <c r="AN80" i="2" s="1"/>
  <c r="AJ80" i="2" a="1"/>
  <c r="AJ80" i="2" s="1"/>
  <c r="AK80" i="2" s="1"/>
  <c r="AG80" i="2" a="1"/>
  <c r="AG80" i="2" s="1"/>
  <c r="AH80" i="2" s="1"/>
  <c r="AD80" i="2" a="1"/>
  <c r="AD80" i="2" s="1"/>
  <c r="AE80" i="2" s="1"/>
  <c r="AA80" i="2" a="1"/>
  <c r="AA80" i="2" s="1"/>
  <c r="AB80" i="2" s="1"/>
  <c r="X80" i="2" a="1"/>
  <c r="X80" i="2" s="1"/>
  <c r="Y80" i="2" s="1"/>
  <c r="AM79" i="2" a="1"/>
  <c r="AM79" i="2" s="1"/>
  <c r="AN79" i="2" s="1"/>
  <c r="AJ79" i="2" a="1"/>
  <c r="AJ79" i="2" s="1"/>
  <c r="AK79" i="2" s="1"/>
  <c r="AG79" i="2" a="1"/>
  <c r="AG79" i="2" s="1"/>
  <c r="AH79" i="2" s="1"/>
  <c r="AD79" i="2" a="1"/>
  <c r="AD79" i="2" s="1"/>
  <c r="AE79" i="2" s="1"/>
  <c r="AA79" i="2" a="1"/>
  <c r="AA79" i="2" s="1"/>
  <c r="AB79" i="2" s="1"/>
  <c r="X79" i="2" a="1"/>
  <c r="X79" i="2" s="1"/>
  <c r="Y79" i="2" s="1"/>
  <c r="AM78" i="2" a="1"/>
  <c r="AM78" i="2" s="1"/>
  <c r="AN78" i="2" s="1"/>
  <c r="AJ78" i="2" a="1"/>
  <c r="AJ78" i="2" s="1"/>
  <c r="AK78" i="2" s="1"/>
  <c r="AG78" i="2" a="1"/>
  <c r="AG78" i="2" s="1"/>
  <c r="AH78" i="2" s="1"/>
  <c r="AD78" i="2" a="1"/>
  <c r="AD78" i="2" s="1"/>
  <c r="AE78" i="2" s="1"/>
  <c r="AA78" i="2" a="1"/>
  <c r="AA78" i="2" s="1"/>
  <c r="AB78" i="2" s="1"/>
  <c r="X78" i="2" a="1"/>
  <c r="X78" i="2" s="1"/>
  <c r="Y78" i="2" s="1"/>
  <c r="AM88" i="2" a="1"/>
  <c r="AM88" i="2" s="1"/>
  <c r="AN88" i="2" s="1"/>
  <c r="AJ88" i="2" a="1"/>
  <c r="AJ88" i="2" s="1"/>
  <c r="AK88" i="2" s="1"/>
  <c r="AG88" i="2" a="1"/>
  <c r="AG88" i="2" s="1"/>
  <c r="AH88" i="2" s="1"/>
  <c r="AD88" i="2" a="1"/>
  <c r="AD88" i="2" s="1"/>
  <c r="AE88" i="2" s="1"/>
  <c r="AA88" i="2" a="1"/>
  <c r="AA88" i="2" s="1"/>
  <c r="AB88" i="2" s="1"/>
  <c r="X88" i="2" a="1"/>
  <c r="X88" i="2" s="1"/>
  <c r="Y88" i="2" s="1"/>
  <c r="AM87" i="2" a="1"/>
  <c r="AM87" i="2" s="1"/>
  <c r="AN87" i="2" s="1"/>
  <c r="AJ87" i="2" a="1"/>
  <c r="AJ87" i="2" s="1"/>
  <c r="AK87" i="2" s="1"/>
  <c r="AG87" i="2" a="1"/>
  <c r="AG87" i="2" s="1"/>
  <c r="AH87" i="2" s="1"/>
  <c r="AD87" i="2" a="1"/>
  <c r="AD87" i="2" s="1"/>
  <c r="AE87" i="2" s="1"/>
  <c r="AA87" i="2" a="1"/>
  <c r="AA87" i="2" s="1"/>
  <c r="AB87" i="2" s="1"/>
  <c r="X87" i="2" a="1"/>
  <c r="X87" i="2" s="1"/>
  <c r="Y87" i="2" s="1"/>
  <c r="AM86" i="2" a="1"/>
  <c r="AM86" i="2" s="1"/>
  <c r="AN86" i="2" s="1"/>
  <c r="AJ86" i="2" a="1"/>
  <c r="AJ86" i="2" s="1"/>
  <c r="AK86" i="2" s="1"/>
  <c r="AG86" i="2" a="1"/>
  <c r="AG86" i="2" s="1"/>
  <c r="AH86" i="2" s="1"/>
  <c r="AD86" i="2" a="1"/>
  <c r="AD86" i="2" s="1"/>
  <c r="AE86" i="2" s="1"/>
  <c r="AA86" i="2" a="1"/>
  <c r="AA86" i="2" s="1"/>
  <c r="AB86" i="2" s="1"/>
  <c r="X86" i="2" a="1"/>
  <c r="X86" i="2" s="1"/>
  <c r="Y86" i="2" s="1"/>
  <c r="AM85" i="2" a="1"/>
  <c r="AM85" i="2" s="1"/>
  <c r="AN85" i="2" s="1"/>
  <c r="AJ85" i="2" a="1"/>
  <c r="AJ85" i="2" s="1"/>
  <c r="AK85" i="2" s="1"/>
  <c r="AG85" i="2" a="1"/>
  <c r="AG85" i="2" s="1"/>
  <c r="AH85" i="2" s="1"/>
  <c r="AD85" i="2" a="1"/>
  <c r="AD85" i="2" s="1"/>
  <c r="AE85" i="2" s="1"/>
  <c r="AA85" i="2" a="1"/>
  <c r="AA85" i="2" s="1"/>
  <c r="AB85" i="2" s="1"/>
  <c r="X85" i="2" a="1"/>
  <c r="X85" i="2" s="1"/>
  <c r="Y85" i="2" s="1"/>
  <c r="AM84" i="2" a="1"/>
  <c r="AM84" i="2" s="1"/>
  <c r="AN84" i="2" s="1"/>
  <c r="AJ84" i="2" a="1"/>
  <c r="AJ84" i="2" s="1"/>
  <c r="AK84" i="2" s="1"/>
  <c r="AG84" i="2" a="1"/>
  <c r="AG84" i="2" s="1"/>
  <c r="AH84" i="2" s="1"/>
  <c r="AD84" i="2" a="1"/>
  <c r="AD84" i="2" s="1"/>
  <c r="AE84" i="2" s="1"/>
  <c r="AA84" i="2" a="1"/>
  <c r="AA84" i="2" s="1"/>
  <c r="AB84" i="2" s="1"/>
  <c r="X84" i="2" a="1"/>
  <c r="X84" i="2" s="1"/>
  <c r="Y84" i="2" s="1"/>
  <c r="AM83" i="2" a="1"/>
  <c r="AM83" i="2" s="1"/>
  <c r="AN83" i="2" s="1"/>
  <c r="AJ83" i="2" a="1"/>
  <c r="AJ83" i="2" s="1"/>
  <c r="AK83" i="2" s="1"/>
  <c r="AG83" i="2" a="1"/>
  <c r="AG83" i="2" s="1"/>
  <c r="AH83" i="2" s="1"/>
  <c r="AD83" i="2" a="1"/>
  <c r="AD83" i="2" s="1"/>
  <c r="AE83" i="2" s="1"/>
  <c r="AA83" i="2" a="1"/>
  <c r="AA83" i="2" s="1"/>
  <c r="AB83" i="2" s="1"/>
  <c r="X83" i="2" a="1"/>
  <c r="X83" i="2" s="1"/>
  <c r="Y83" i="2" s="1"/>
  <c r="AM82" i="2" a="1"/>
  <c r="AM82" i="2" s="1"/>
  <c r="AN82" i="2" s="1"/>
  <c r="AJ82" i="2" a="1"/>
  <c r="AJ82" i="2" s="1"/>
  <c r="AK82" i="2" s="1"/>
  <c r="AG82" i="2" a="1"/>
  <c r="AG82" i="2" s="1"/>
  <c r="AH82" i="2" s="1"/>
  <c r="AD82" i="2" a="1"/>
  <c r="AD82" i="2" s="1"/>
  <c r="AE82" i="2" s="1"/>
  <c r="AA82" i="2" a="1"/>
  <c r="AA82" i="2" s="1"/>
  <c r="AB82" i="2" s="1"/>
  <c r="X82" i="2" a="1"/>
  <c r="X82" i="2" s="1"/>
  <c r="Y82" i="2" s="1"/>
  <c r="AM81" i="2" a="1"/>
  <c r="AM81" i="2" s="1"/>
  <c r="AN81" i="2" s="1"/>
  <c r="AJ81" i="2" a="1"/>
  <c r="AJ81" i="2" s="1"/>
  <c r="AK81" i="2" s="1"/>
  <c r="AG81" i="2" a="1"/>
  <c r="AG81" i="2" s="1"/>
  <c r="AH81" i="2" s="1"/>
  <c r="AD81" i="2" a="1"/>
  <c r="AD81" i="2" s="1"/>
  <c r="AE81" i="2" s="1"/>
  <c r="AA81" i="2" a="1"/>
  <c r="AA81" i="2" s="1"/>
  <c r="AB81" i="2" s="1"/>
  <c r="X81" i="2" a="1"/>
  <c r="X81" i="2" s="1"/>
  <c r="Y81" i="2" s="1"/>
  <c r="AM95" i="2" a="1"/>
  <c r="AM95" i="2" s="1"/>
  <c r="AN95" i="2" s="1"/>
  <c r="AJ95" i="2" a="1"/>
  <c r="AJ95" i="2" s="1"/>
  <c r="AK95" i="2" s="1"/>
  <c r="AG95" i="2" a="1"/>
  <c r="AG95" i="2" s="1"/>
  <c r="AH95" i="2" s="1"/>
  <c r="AD95" i="2" a="1"/>
  <c r="AD95" i="2" s="1"/>
  <c r="AE95" i="2" s="1"/>
  <c r="AA95" i="2" a="1"/>
  <c r="AA95" i="2" s="1"/>
  <c r="AB95" i="2" s="1"/>
  <c r="X95" i="2" a="1"/>
  <c r="X95" i="2" s="1"/>
  <c r="Y95" i="2" s="1"/>
  <c r="AM94" i="2" a="1"/>
  <c r="AM94" i="2" s="1"/>
  <c r="AN94" i="2" s="1"/>
  <c r="AJ94" i="2" a="1"/>
  <c r="AJ94" i="2" s="1"/>
  <c r="AK94" i="2" s="1"/>
  <c r="AG94" i="2" a="1"/>
  <c r="AG94" i="2" s="1"/>
  <c r="AH94" i="2" s="1"/>
  <c r="AD94" i="2" a="1"/>
  <c r="AD94" i="2" s="1"/>
  <c r="AE94" i="2" s="1"/>
  <c r="AA94" i="2" a="1"/>
  <c r="AA94" i="2" s="1"/>
  <c r="AB94" i="2" s="1"/>
  <c r="X94" i="2" a="1"/>
  <c r="X94" i="2" s="1"/>
  <c r="Y94" i="2" s="1"/>
  <c r="AM93" i="2" a="1"/>
  <c r="AM93" i="2" s="1"/>
  <c r="AN93" i="2" s="1"/>
  <c r="AJ93" i="2" a="1"/>
  <c r="AJ93" i="2" s="1"/>
  <c r="AK93" i="2" s="1"/>
  <c r="AG93" i="2" a="1"/>
  <c r="AG93" i="2" s="1"/>
  <c r="AH93" i="2" s="1"/>
  <c r="AD93" i="2" a="1"/>
  <c r="AD93" i="2" s="1"/>
  <c r="AE93" i="2" s="1"/>
  <c r="AA93" i="2" a="1"/>
  <c r="AA93" i="2" s="1"/>
  <c r="AB93" i="2" s="1"/>
  <c r="X93" i="2" a="1"/>
  <c r="X93" i="2" s="1"/>
  <c r="Y93" i="2" s="1"/>
  <c r="AM92" i="2" a="1"/>
  <c r="AM92" i="2" s="1"/>
  <c r="AN92" i="2" s="1"/>
  <c r="AJ92" i="2" a="1"/>
  <c r="AJ92" i="2" s="1"/>
  <c r="AK92" i="2" s="1"/>
  <c r="AG92" i="2" a="1"/>
  <c r="AG92" i="2" s="1"/>
  <c r="AH92" i="2" s="1"/>
  <c r="AD92" i="2" a="1"/>
  <c r="AD92" i="2" s="1"/>
  <c r="AE92" i="2" s="1"/>
  <c r="AA92" i="2" a="1"/>
  <c r="AA92" i="2" s="1"/>
  <c r="AB92" i="2" s="1"/>
  <c r="X92" i="2" a="1"/>
  <c r="X92" i="2" s="1"/>
  <c r="Y92" i="2" s="1"/>
  <c r="AM91" i="2" a="1"/>
  <c r="AM91" i="2" s="1"/>
  <c r="AN91" i="2" s="1"/>
  <c r="AJ91" i="2" a="1"/>
  <c r="AJ91" i="2" s="1"/>
  <c r="AK91" i="2" s="1"/>
  <c r="AG91" i="2" a="1"/>
  <c r="AG91" i="2" s="1"/>
  <c r="AH91" i="2" s="1"/>
  <c r="AD91" i="2" a="1"/>
  <c r="AD91" i="2" s="1"/>
  <c r="AE91" i="2" s="1"/>
  <c r="AA91" i="2" a="1"/>
  <c r="AA91" i="2" s="1"/>
  <c r="AB91" i="2" s="1"/>
  <c r="X91" i="2" a="1"/>
  <c r="X91" i="2" s="1"/>
  <c r="Y91" i="2" s="1"/>
  <c r="AM90" i="2" a="1"/>
  <c r="AM90" i="2" s="1"/>
  <c r="AN90" i="2" s="1"/>
  <c r="AJ90" i="2" a="1"/>
  <c r="AJ90" i="2" s="1"/>
  <c r="AK90" i="2" s="1"/>
  <c r="AG90" i="2" a="1"/>
  <c r="AG90" i="2" s="1"/>
  <c r="AH90" i="2" s="1"/>
  <c r="AD90" i="2" a="1"/>
  <c r="AD90" i="2" s="1"/>
  <c r="AE90" i="2" s="1"/>
  <c r="AA90" i="2" a="1"/>
  <c r="AA90" i="2" s="1"/>
  <c r="AB90" i="2" s="1"/>
  <c r="X90" i="2" a="1"/>
  <c r="X90" i="2" s="1"/>
  <c r="Y90" i="2" s="1"/>
  <c r="AM89" i="2" a="1"/>
  <c r="AM89" i="2" s="1"/>
  <c r="AN89" i="2" s="1"/>
  <c r="AJ89" i="2" a="1"/>
  <c r="AJ89" i="2" s="1"/>
  <c r="AK89" i="2" s="1"/>
  <c r="AG89" i="2" a="1"/>
  <c r="AG89" i="2" s="1"/>
  <c r="AH89" i="2" s="1"/>
  <c r="AD89" i="2" a="1"/>
  <c r="AD89" i="2" s="1"/>
  <c r="AE89" i="2" s="1"/>
  <c r="AA89" i="2" a="1"/>
  <c r="AA89" i="2" s="1"/>
  <c r="AB89" i="2" s="1"/>
  <c r="X89" i="2" a="1"/>
  <c r="X89" i="2" s="1"/>
  <c r="Y89" i="2" s="1"/>
  <c r="AM106" i="2" a="1"/>
  <c r="AM106" i="2" s="1"/>
  <c r="AN106" i="2" s="1"/>
  <c r="AJ106" i="2" a="1"/>
  <c r="AJ106" i="2" s="1"/>
  <c r="AK106" i="2" s="1"/>
  <c r="AG106" i="2" a="1"/>
  <c r="AG106" i="2" s="1"/>
  <c r="AH106" i="2" s="1"/>
  <c r="AD106" i="2" a="1"/>
  <c r="AD106" i="2" s="1"/>
  <c r="AE106" i="2" s="1"/>
  <c r="AA106" i="2" a="1"/>
  <c r="AA106" i="2" s="1"/>
  <c r="AB106" i="2" s="1"/>
  <c r="X106" i="2" a="1"/>
  <c r="X106" i="2" s="1"/>
  <c r="Y106" i="2" s="1"/>
  <c r="AM105" i="2" a="1"/>
  <c r="AM105" i="2" s="1"/>
  <c r="AN105" i="2" s="1"/>
  <c r="AJ105" i="2" a="1"/>
  <c r="AJ105" i="2" s="1"/>
  <c r="AK105" i="2" s="1"/>
  <c r="AG105" i="2" a="1"/>
  <c r="AG105" i="2" s="1"/>
  <c r="AH105" i="2" s="1"/>
  <c r="AD105" i="2" a="1"/>
  <c r="AD105" i="2" s="1"/>
  <c r="AE105" i="2" s="1"/>
  <c r="AA105" i="2" a="1"/>
  <c r="AA105" i="2" s="1"/>
  <c r="AB105" i="2" s="1"/>
  <c r="X105" i="2" a="1"/>
  <c r="X105" i="2" s="1"/>
  <c r="Y105" i="2" s="1"/>
  <c r="AM104" i="2" a="1"/>
  <c r="AM104" i="2" s="1"/>
  <c r="AN104" i="2" s="1"/>
  <c r="AJ104" i="2" a="1"/>
  <c r="AJ104" i="2" s="1"/>
  <c r="AK104" i="2" s="1"/>
  <c r="AG104" i="2" a="1"/>
  <c r="AG104" i="2" s="1"/>
  <c r="AH104" i="2" s="1"/>
  <c r="AD104" i="2" a="1"/>
  <c r="AD104" i="2" s="1"/>
  <c r="AE104" i="2" s="1"/>
  <c r="AA104" i="2" a="1"/>
  <c r="AA104" i="2" s="1"/>
  <c r="AB104" i="2" s="1"/>
  <c r="X104" i="2" a="1"/>
  <c r="X104" i="2" s="1"/>
  <c r="Y104" i="2" s="1"/>
  <c r="AM103" i="2" a="1"/>
  <c r="AM103" i="2" s="1"/>
  <c r="AN103" i="2" s="1"/>
  <c r="AJ103" i="2" a="1"/>
  <c r="AJ103" i="2" s="1"/>
  <c r="AK103" i="2" s="1"/>
  <c r="AG103" i="2" a="1"/>
  <c r="AG103" i="2" s="1"/>
  <c r="AH103" i="2" s="1"/>
  <c r="AD103" i="2" a="1"/>
  <c r="AD103" i="2" s="1"/>
  <c r="AE103" i="2" s="1"/>
  <c r="AA103" i="2" a="1"/>
  <c r="AA103" i="2" s="1"/>
  <c r="AB103" i="2" s="1"/>
  <c r="X103" i="2" a="1"/>
  <c r="X103" i="2" s="1"/>
  <c r="Y103" i="2" s="1"/>
  <c r="AM102" i="2" a="1"/>
  <c r="AM102" i="2" s="1"/>
  <c r="AN102" i="2" s="1"/>
  <c r="AJ102" i="2" a="1"/>
  <c r="AJ102" i="2" s="1"/>
  <c r="AK102" i="2" s="1"/>
  <c r="AG102" i="2" a="1"/>
  <c r="AG102" i="2" s="1"/>
  <c r="AH102" i="2" s="1"/>
  <c r="AD102" i="2" a="1"/>
  <c r="AD102" i="2" s="1"/>
  <c r="AE102" i="2" s="1"/>
  <c r="AA102" i="2" a="1"/>
  <c r="AA102" i="2" s="1"/>
  <c r="AB102" i="2" s="1"/>
  <c r="X102" i="2" a="1"/>
  <c r="X102" i="2" s="1"/>
  <c r="Y102" i="2" s="1"/>
  <c r="AM101" i="2" a="1"/>
  <c r="AM101" i="2" s="1"/>
  <c r="AN101" i="2" s="1"/>
  <c r="AJ101" i="2" a="1"/>
  <c r="AJ101" i="2" s="1"/>
  <c r="AK101" i="2" s="1"/>
  <c r="AG101" i="2" a="1"/>
  <c r="AG101" i="2" s="1"/>
  <c r="AH101" i="2" s="1"/>
  <c r="AD101" i="2" a="1"/>
  <c r="AD101" i="2" s="1"/>
  <c r="AE101" i="2" s="1"/>
  <c r="AA101" i="2" a="1"/>
  <c r="AA101" i="2" s="1"/>
  <c r="AB101" i="2" s="1"/>
  <c r="X101" i="2" a="1"/>
  <c r="X101" i="2" s="1"/>
  <c r="Y101" i="2" s="1"/>
  <c r="AM100" i="2" a="1"/>
  <c r="AM100" i="2" s="1"/>
  <c r="AN100" i="2" s="1"/>
  <c r="AJ100" i="2" a="1"/>
  <c r="AJ100" i="2" s="1"/>
  <c r="AK100" i="2" s="1"/>
  <c r="AG100" i="2" a="1"/>
  <c r="AG100" i="2" s="1"/>
  <c r="AH100" i="2" s="1"/>
  <c r="AD100" i="2" a="1"/>
  <c r="AD100" i="2" s="1"/>
  <c r="AE100" i="2" s="1"/>
  <c r="AA100" i="2" a="1"/>
  <c r="AA100" i="2" s="1"/>
  <c r="AB100" i="2" s="1"/>
  <c r="X100" i="2" a="1"/>
  <c r="X100" i="2" s="1"/>
  <c r="Y100" i="2" s="1"/>
  <c r="AM99" i="2" a="1"/>
  <c r="AM99" i="2" s="1"/>
  <c r="AN99" i="2" s="1"/>
  <c r="AJ99" i="2" a="1"/>
  <c r="AJ99" i="2" s="1"/>
  <c r="AK99" i="2" s="1"/>
  <c r="AG99" i="2" a="1"/>
  <c r="AG99" i="2" s="1"/>
  <c r="AH99" i="2" s="1"/>
  <c r="AD99" i="2" a="1"/>
  <c r="AD99" i="2" s="1"/>
  <c r="AE99" i="2" s="1"/>
  <c r="AA99" i="2" a="1"/>
  <c r="AA99" i="2" s="1"/>
  <c r="AB99" i="2" s="1"/>
  <c r="X99" i="2" a="1"/>
  <c r="X99" i="2" s="1"/>
  <c r="Y99" i="2" s="1"/>
  <c r="AM98" i="2" a="1"/>
  <c r="AM98" i="2" s="1"/>
  <c r="AN98" i="2" s="1"/>
  <c r="AJ98" i="2" a="1"/>
  <c r="AJ98" i="2" s="1"/>
  <c r="AK98" i="2" s="1"/>
  <c r="AG98" i="2" a="1"/>
  <c r="AG98" i="2" s="1"/>
  <c r="AH98" i="2" s="1"/>
  <c r="AD98" i="2" a="1"/>
  <c r="AD98" i="2" s="1"/>
  <c r="AE98" i="2" s="1"/>
  <c r="AA98" i="2" a="1"/>
  <c r="AA98" i="2" s="1"/>
  <c r="AB98" i="2" s="1"/>
  <c r="X98" i="2" a="1"/>
  <c r="X98" i="2" s="1"/>
  <c r="Y98" i="2" s="1"/>
  <c r="AM97" i="2" a="1"/>
  <c r="AM97" i="2" s="1"/>
  <c r="AN97" i="2" s="1"/>
  <c r="AJ97" i="2" a="1"/>
  <c r="AJ97" i="2" s="1"/>
  <c r="AK97" i="2" s="1"/>
  <c r="AG97" i="2" a="1"/>
  <c r="AG97" i="2" s="1"/>
  <c r="AH97" i="2" s="1"/>
  <c r="AD97" i="2" a="1"/>
  <c r="AD97" i="2" s="1"/>
  <c r="AE97" i="2" s="1"/>
  <c r="AA97" i="2" a="1"/>
  <c r="AA97" i="2" s="1"/>
  <c r="AB97" i="2" s="1"/>
  <c r="X97" i="2" a="1"/>
  <c r="X97" i="2" s="1"/>
  <c r="Y97" i="2" s="1"/>
  <c r="AM96" i="2" a="1"/>
  <c r="AM96" i="2" s="1"/>
  <c r="AN96" i="2" s="1"/>
  <c r="AJ96" i="2" a="1"/>
  <c r="AJ96" i="2" s="1"/>
  <c r="AK96" i="2" s="1"/>
  <c r="AG96" i="2" a="1"/>
  <c r="AG96" i="2" s="1"/>
  <c r="AH96" i="2" s="1"/>
  <c r="AD96" i="2" a="1"/>
  <c r="AD96" i="2" s="1"/>
  <c r="AE96" i="2" s="1"/>
  <c r="AA96" i="2" a="1"/>
  <c r="AA96" i="2" s="1"/>
  <c r="AB96" i="2" s="1"/>
  <c r="X96" i="2" a="1"/>
  <c r="X96" i="2" s="1"/>
  <c r="Y96" i="2" s="1"/>
  <c r="AA135" i="2" a="1"/>
  <c r="AA135" i="2" s="1"/>
  <c r="AB135" i="2" s="1"/>
  <c r="X135" i="2" a="1"/>
  <c r="X135" i="2" s="1"/>
  <c r="Y135" i="2" s="1"/>
  <c r="AM134" i="2" a="1"/>
  <c r="AM134" i="2" s="1"/>
  <c r="AN134" i="2" s="1"/>
  <c r="AJ134" i="2" a="1"/>
  <c r="AJ134" i="2" s="1"/>
  <c r="AK134" i="2" s="1"/>
  <c r="AG134" i="2" a="1"/>
  <c r="AG134" i="2" s="1"/>
  <c r="AH134" i="2" s="1"/>
  <c r="AD134" i="2" a="1"/>
  <c r="AD134" i="2" s="1"/>
  <c r="AE134" i="2" s="1"/>
  <c r="AA134" i="2" a="1"/>
  <c r="AA134" i="2" s="1"/>
  <c r="AB134" i="2" s="1"/>
  <c r="X134" i="2" a="1"/>
  <c r="X134" i="2" s="1"/>
  <c r="Y134" i="2" s="1"/>
  <c r="AM133" i="2" a="1"/>
  <c r="AM133" i="2" s="1"/>
  <c r="AN133" i="2" s="1"/>
  <c r="AJ133" i="2" a="1"/>
  <c r="AJ133" i="2" s="1"/>
  <c r="AK133" i="2" s="1"/>
  <c r="AG133" i="2" a="1"/>
  <c r="AG133" i="2" s="1"/>
  <c r="AH133" i="2" s="1"/>
  <c r="AD133" i="2" a="1"/>
  <c r="AD133" i="2" s="1"/>
  <c r="AE133" i="2" s="1"/>
  <c r="AA133" i="2" a="1"/>
  <c r="AA133" i="2" s="1"/>
  <c r="AB133" i="2" s="1"/>
  <c r="X133" i="2" a="1"/>
  <c r="X133" i="2" s="1"/>
  <c r="Y133" i="2" s="1"/>
  <c r="AM132" i="2" a="1"/>
  <c r="AM132" i="2" s="1"/>
  <c r="AN132" i="2" s="1"/>
  <c r="AJ132" i="2" a="1"/>
  <c r="AJ132" i="2" s="1"/>
  <c r="AK132" i="2" s="1"/>
  <c r="AG132" i="2" a="1"/>
  <c r="AG132" i="2" s="1"/>
  <c r="AH132" i="2" s="1"/>
  <c r="AD132" i="2" a="1"/>
  <c r="AD132" i="2" s="1"/>
  <c r="AE132" i="2" s="1"/>
  <c r="AA132" i="2" a="1"/>
  <c r="AA132" i="2" s="1"/>
  <c r="AB132" i="2" s="1"/>
  <c r="X132" i="2" a="1"/>
  <c r="X132" i="2" s="1"/>
  <c r="Y132" i="2" s="1"/>
  <c r="AM135" i="2" a="1"/>
  <c r="AM135" i="2" s="1"/>
  <c r="AN135" i="2" s="1"/>
  <c r="AJ135" i="2" a="1"/>
  <c r="AJ135" i="2" s="1"/>
  <c r="AK135" i="2" s="1"/>
  <c r="AG135" i="2" a="1"/>
  <c r="AG135" i="2" s="1"/>
  <c r="AH135" i="2" s="1"/>
  <c r="AD135" i="2" a="1"/>
  <c r="AD135" i="2" s="1"/>
  <c r="AE135" i="2" s="1"/>
  <c r="S8" i="2"/>
  <c r="S6" i="2"/>
  <c r="R31" i="2" a="1"/>
  <c r="R31" i="2" s="1"/>
  <c r="S5" i="2"/>
  <c r="S4" i="2"/>
  <c r="S3" i="2"/>
  <c r="S2" i="2"/>
  <c r="AN488" i="2"/>
  <c r="AN496" i="2"/>
  <c r="AN497" i="2"/>
  <c r="AN498" i="2"/>
  <c r="AM497" i="2" a="1"/>
  <c r="AM497" i="2" s="1"/>
  <c r="AM496" i="2" a="1"/>
  <c r="AM496" i="2" s="1"/>
  <c r="AM495" i="2" a="1"/>
  <c r="AM495" i="2" s="1"/>
  <c r="AN495" i="2" s="1"/>
  <c r="AM494" i="2" a="1"/>
  <c r="AM494" i="2" s="1"/>
  <c r="AN494" i="2" s="1"/>
  <c r="AM493" i="2" a="1"/>
  <c r="AM493" i="2" s="1"/>
  <c r="AN493" i="2" s="1"/>
  <c r="AM492" i="2" a="1"/>
  <c r="AM492" i="2" s="1"/>
  <c r="AN492" i="2" s="1"/>
  <c r="AM491" i="2" a="1"/>
  <c r="AM491" i="2" s="1"/>
  <c r="AN491" i="2" s="1"/>
  <c r="AM490" i="2" a="1"/>
  <c r="AM490" i="2" s="1"/>
  <c r="AN490" i="2" s="1"/>
  <c r="AM489" i="2" a="1"/>
  <c r="AM489" i="2" s="1"/>
  <c r="AN489" i="2" s="1"/>
  <c r="AM488" i="2" a="1"/>
  <c r="AM488" i="2" s="1"/>
  <c r="AM487" i="2" a="1"/>
  <c r="AM487" i="2" s="1"/>
  <c r="AN487" i="2" s="1"/>
  <c r="AM486" i="2" a="1"/>
  <c r="AM486" i="2" s="1"/>
  <c r="AN486" i="2" s="1"/>
  <c r="AM485" i="2" a="1"/>
  <c r="AM485" i="2" s="1"/>
  <c r="AN485" i="2" s="1"/>
  <c r="AM484" i="2" a="1"/>
  <c r="AM484" i="2" s="1"/>
  <c r="AN484" i="2" s="1"/>
  <c r="AM483" i="2" a="1"/>
  <c r="AM483" i="2" s="1"/>
  <c r="AN483" i="2" s="1"/>
  <c r="AM482" i="2" a="1"/>
  <c r="AM482" i="2" s="1"/>
  <c r="AN482" i="2" s="1"/>
  <c r="AM481" i="2" a="1"/>
  <c r="AM481" i="2" s="1"/>
  <c r="AN481" i="2" s="1"/>
  <c r="AM480" i="2" a="1"/>
  <c r="AM480" i="2" s="1"/>
  <c r="AN480" i="2" s="1"/>
  <c r="AM479" i="2" a="1"/>
  <c r="AM479" i="2" s="1"/>
  <c r="AN479" i="2" s="1"/>
  <c r="AM478" i="2" a="1"/>
  <c r="AM478" i="2" s="1"/>
  <c r="AN478" i="2" s="1"/>
  <c r="AM477" i="2" a="1"/>
  <c r="AM477" i="2" s="1"/>
  <c r="AN477" i="2" s="1"/>
  <c r="AM476" i="2" a="1"/>
  <c r="AM476" i="2" s="1"/>
  <c r="AN476" i="2" s="1"/>
  <c r="AM475" i="2" a="1"/>
  <c r="AM475" i="2" s="1"/>
  <c r="AN475" i="2" s="1"/>
  <c r="AM474" i="2" a="1"/>
  <c r="AM474" i="2" s="1"/>
  <c r="AN474" i="2" s="1"/>
  <c r="AM473" i="2" a="1"/>
  <c r="AM473" i="2" s="1"/>
  <c r="AN473" i="2" s="1"/>
  <c r="AM472" i="2" a="1"/>
  <c r="AM472" i="2" s="1"/>
  <c r="AN472" i="2" s="1"/>
  <c r="AM471" i="2" a="1"/>
  <c r="AM471" i="2" s="1"/>
  <c r="AN471" i="2" s="1"/>
  <c r="AM470" i="2" a="1"/>
  <c r="AM470" i="2" s="1"/>
  <c r="AN470" i="2" s="1"/>
  <c r="AM469" i="2" a="1"/>
  <c r="AM469" i="2" s="1"/>
  <c r="AN469" i="2" s="1"/>
  <c r="AM468" i="2" a="1"/>
  <c r="AM468" i="2" s="1"/>
  <c r="AN468" i="2" s="1"/>
  <c r="AM467" i="2" a="1"/>
  <c r="AM467" i="2" s="1"/>
  <c r="AN467" i="2" s="1"/>
  <c r="AM466" i="2" a="1"/>
  <c r="AM466" i="2" s="1"/>
  <c r="AN466" i="2" s="1"/>
  <c r="AM465" i="2" a="1"/>
  <c r="AM465" i="2" s="1"/>
  <c r="AN465" i="2" s="1"/>
  <c r="AM464" i="2" a="1"/>
  <c r="AM464" i="2" s="1"/>
  <c r="AN464" i="2" s="1"/>
  <c r="AM463" i="2" a="1"/>
  <c r="AM463" i="2" s="1"/>
  <c r="AN463" i="2" s="1"/>
  <c r="AM462" i="2" a="1"/>
  <c r="AM462" i="2" s="1"/>
  <c r="AN462" i="2" s="1"/>
  <c r="AM461" i="2" a="1"/>
  <c r="AM461" i="2" s="1"/>
  <c r="AN461" i="2" s="1"/>
  <c r="AM460" i="2" a="1"/>
  <c r="AM460" i="2" s="1"/>
  <c r="AN460" i="2" s="1"/>
  <c r="AM459" i="2" a="1"/>
  <c r="AM459" i="2" s="1"/>
  <c r="AN459" i="2" s="1"/>
  <c r="AM458" i="2" a="1"/>
  <c r="AM458" i="2" s="1"/>
  <c r="AN458" i="2" s="1"/>
  <c r="AM457" i="2" a="1"/>
  <c r="AM457" i="2" s="1"/>
  <c r="AN457" i="2" s="1"/>
  <c r="AM456" i="2" a="1"/>
  <c r="AM456" i="2" s="1"/>
  <c r="AN456" i="2" s="1"/>
  <c r="AM455" i="2" a="1"/>
  <c r="AM455" i="2" s="1"/>
  <c r="AN455" i="2" s="1"/>
  <c r="AM454" i="2" a="1"/>
  <c r="AM454" i="2" s="1"/>
  <c r="AN454" i="2" s="1"/>
  <c r="AM453" i="2" a="1"/>
  <c r="AM453" i="2" s="1"/>
  <c r="AN453" i="2" s="1"/>
  <c r="AM452" i="2" a="1"/>
  <c r="AM452" i="2" s="1"/>
  <c r="AN452" i="2" s="1"/>
  <c r="AM451" i="2" a="1"/>
  <c r="AM451" i="2" s="1"/>
  <c r="AN451" i="2" s="1"/>
  <c r="AM450" i="2" a="1"/>
  <c r="AM450" i="2" s="1"/>
  <c r="AN450" i="2" s="1"/>
  <c r="AM449" i="2" a="1"/>
  <c r="AM449" i="2" s="1"/>
  <c r="AN449" i="2" s="1"/>
  <c r="AM448" i="2" a="1"/>
  <c r="AM448" i="2" s="1"/>
  <c r="AN448" i="2" s="1"/>
  <c r="AM447" i="2" a="1"/>
  <c r="AM447" i="2" s="1"/>
  <c r="AN447" i="2" s="1"/>
  <c r="AM446" i="2" a="1"/>
  <c r="AM446" i="2" s="1"/>
  <c r="AN446" i="2" s="1"/>
  <c r="AM445" i="2" a="1"/>
  <c r="AM445" i="2" s="1"/>
  <c r="AN445" i="2" s="1"/>
  <c r="AM444" i="2" a="1"/>
  <c r="AM444" i="2" s="1"/>
  <c r="AN444" i="2" s="1"/>
  <c r="AM443" i="2" a="1"/>
  <c r="AM443" i="2" s="1"/>
  <c r="AN443" i="2" s="1"/>
  <c r="AM442" i="2" a="1"/>
  <c r="AM442" i="2" s="1"/>
  <c r="AN442" i="2" s="1"/>
  <c r="AM441" i="2" a="1"/>
  <c r="AM441" i="2" s="1"/>
  <c r="AN441" i="2" s="1"/>
  <c r="AM440" i="2" a="1"/>
  <c r="AM440" i="2" s="1"/>
  <c r="AN440" i="2" s="1"/>
  <c r="AM439" i="2" a="1"/>
  <c r="AM439" i="2" s="1"/>
  <c r="AN439" i="2" s="1"/>
  <c r="AM438" i="2" a="1"/>
  <c r="AM438" i="2" s="1"/>
  <c r="AN438" i="2" s="1"/>
  <c r="AM437" i="2" a="1"/>
  <c r="AM437" i="2" s="1"/>
  <c r="AN437" i="2" s="1"/>
  <c r="AM436" i="2" a="1"/>
  <c r="AM436" i="2" s="1"/>
  <c r="AN436" i="2" s="1"/>
  <c r="AM435" i="2" a="1"/>
  <c r="AM435" i="2" s="1"/>
  <c r="AN435" i="2" s="1"/>
  <c r="AM434" i="2" a="1"/>
  <c r="AM434" i="2" s="1"/>
  <c r="AN434" i="2" s="1"/>
  <c r="AM433" i="2" a="1"/>
  <c r="AM433" i="2" s="1"/>
  <c r="AN433" i="2" s="1"/>
  <c r="AM432" i="2" a="1"/>
  <c r="AM432" i="2" s="1"/>
  <c r="AN432" i="2" s="1"/>
  <c r="AM431" i="2" a="1"/>
  <c r="AM431" i="2" s="1"/>
  <c r="AN431" i="2" s="1"/>
  <c r="AM430" i="2" a="1"/>
  <c r="AM430" i="2" s="1"/>
  <c r="AN430" i="2" s="1"/>
  <c r="AM429" i="2" a="1"/>
  <c r="AM429" i="2" s="1"/>
  <c r="AN429" i="2" s="1"/>
  <c r="AM428" i="2" a="1"/>
  <c r="AM428" i="2" s="1"/>
  <c r="AN428" i="2" s="1"/>
  <c r="AM427" i="2" a="1"/>
  <c r="AM427" i="2" s="1"/>
  <c r="AN427" i="2" s="1"/>
  <c r="AM426" i="2" a="1"/>
  <c r="AM426" i="2" s="1"/>
  <c r="AN426" i="2" s="1"/>
  <c r="AM425" i="2" a="1"/>
  <c r="AM425" i="2" s="1"/>
  <c r="AN425" i="2" s="1"/>
  <c r="AM424" i="2" a="1"/>
  <c r="AM424" i="2" s="1"/>
  <c r="AN424" i="2" s="1"/>
  <c r="AM423" i="2" a="1"/>
  <c r="AM423" i="2" s="1"/>
  <c r="AN423" i="2" s="1"/>
  <c r="AM422" i="2" a="1"/>
  <c r="AM422" i="2" s="1"/>
  <c r="AN422" i="2" s="1"/>
  <c r="AM421" i="2" a="1"/>
  <c r="AM421" i="2" s="1"/>
  <c r="AN421" i="2" s="1"/>
  <c r="AM420" i="2" a="1"/>
  <c r="AM420" i="2" s="1"/>
  <c r="AN420" i="2" s="1"/>
  <c r="AM419" i="2" a="1"/>
  <c r="AM419" i="2" s="1"/>
  <c r="AN419" i="2" s="1"/>
  <c r="AM418" i="2" a="1"/>
  <c r="AM418" i="2" s="1"/>
  <c r="AN418" i="2" s="1"/>
  <c r="AM417" i="2" a="1"/>
  <c r="AM417" i="2" s="1"/>
  <c r="AN417" i="2" s="1"/>
  <c r="AM416" i="2" a="1"/>
  <c r="AM416" i="2" s="1"/>
  <c r="AN416" i="2" s="1"/>
  <c r="AM415" i="2" a="1"/>
  <c r="AM415" i="2" s="1"/>
  <c r="AN415" i="2" s="1"/>
  <c r="AM414" i="2" a="1"/>
  <c r="AM414" i="2" s="1"/>
  <c r="AN414" i="2" s="1"/>
  <c r="AM413" i="2" a="1"/>
  <c r="AM413" i="2" s="1"/>
  <c r="AN413" i="2" s="1"/>
  <c r="AM412" i="2" a="1"/>
  <c r="AM412" i="2" s="1"/>
  <c r="AN412" i="2" s="1"/>
  <c r="AM411" i="2" a="1"/>
  <c r="AM411" i="2" s="1"/>
  <c r="AN411" i="2" s="1"/>
  <c r="AM410" i="2" a="1"/>
  <c r="AM410" i="2" s="1"/>
  <c r="AN410" i="2" s="1"/>
  <c r="AM409" i="2" a="1"/>
  <c r="AM409" i="2" s="1"/>
  <c r="AN409" i="2" s="1"/>
  <c r="AM408" i="2" a="1"/>
  <c r="AM408" i="2" s="1"/>
  <c r="AN408" i="2" s="1"/>
  <c r="AM407" i="2" a="1"/>
  <c r="AM407" i="2" s="1"/>
  <c r="AN407" i="2" s="1"/>
  <c r="AM406" i="2" a="1"/>
  <c r="AM406" i="2" s="1"/>
  <c r="AN406" i="2" s="1"/>
  <c r="AM405" i="2" a="1"/>
  <c r="AM405" i="2" s="1"/>
  <c r="AN405" i="2" s="1"/>
  <c r="AM404" i="2" a="1"/>
  <c r="AM404" i="2" s="1"/>
  <c r="AN404" i="2" s="1"/>
  <c r="AM403" i="2" a="1"/>
  <c r="AM403" i="2" s="1"/>
  <c r="AN403" i="2" s="1"/>
  <c r="AM402" i="2" a="1"/>
  <c r="AM402" i="2" s="1"/>
  <c r="AN402" i="2" s="1"/>
  <c r="AM401" i="2" a="1"/>
  <c r="AM401" i="2" s="1"/>
  <c r="AN401" i="2" s="1"/>
  <c r="AM400" i="2" a="1"/>
  <c r="AM400" i="2" s="1"/>
  <c r="AN400" i="2" s="1"/>
  <c r="AM399" i="2" a="1"/>
  <c r="AM399" i="2" s="1"/>
  <c r="AN399" i="2" s="1"/>
  <c r="AM398" i="2" a="1"/>
  <c r="AM398" i="2" s="1"/>
  <c r="AN398" i="2" s="1"/>
  <c r="AM397" i="2" a="1"/>
  <c r="AM397" i="2" s="1"/>
  <c r="AN397" i="2" s="1"/>
  <c r="AM396" i="2" a="1"/>
  <c r="AM396" i="2" s="1"/>
  <c r="AN396" i="2" s="1"/>
  <c r="AM395" i="2" a="1"/>
  <c r="AM395" i="2" s="1"/>
  <c r="AN395" i="2" s="1"/>
  <c r="AM394" i="2" a="1"/>
  <c r="AM394" i="2" s="1"/>
  <c r="AN394" i="2" s="1"/>
  <c r="AM393" i="2" a="1"/>
  <c r="AM393" i="2" s="1"/>
  <c r="AN393" i="2" s="1"/>
  <c r="AM392" i="2" a="1"/>
  <c r="AM392" i="2" s="1"/>
  <c r="AN392" i="2" s="1"/>
  <c r="AM391" i="2" a="1"/>
  <c r="AM391" i="2" s="1"/>
  <c r="AN391" i="2" s="1"/>
  <c r="AM390" i="2" a="1"/>
  <c r="AM390" i="2" s="1"/>
  <c r="AN390" i="2" s="1"/>
  <c r="AM389" i="2" a="1"/>
  <c r="AM389" i="2" s="1"/>
  <c r="AN389" i="2" s="1"/>
  <c r="AM388" i="2" a="1"/>
  <c r="AM388" i="2" s="1"/>
  <c r="AN388" i="2" s="1"/>
  <c r="AM387" i="2" a="1"/>
  <c r="AM387" i="2" s="1"/>
  <c r="AN387" i="2" s="1"/>
  <c r="AM386" i="2" a="1"/>
  <c r="AM386" i="2" s="1"/>
  <c r="AN386" i="2" s="1"/>
  <c r="AM385" i="2" a="1"/>
  <c r="AM385" i="2" s="1"/>
  <c r="AN385" i="2" s="1"/>
  <c r="AM384" i="2" a="1"/>
  <c r="AM384" i="2" s="1"/>
  <c r="AN384" i="2" s="1"/>
  <c r="AM383" i="2" a="1"/>
  <c r="AM383" i="2" s="1"/>
  <c r="AN383" i="2" s="1"/>
  <c r="AM382" i="2" a="1"/>
  <c r="AM382" i="2" s="1"/>
  <c r="AN382" i="2" s="1"/>
  <c r="AM381" i="2" a="1"/>
  <c r="AM381" i="2" s="1"/>
  <c r="AN381" i="2" s="1"/>
  <c r="AM380" i="2" a="1"/>
  <c r="AM380" i="2" s="1"/>
  <c r="AN380" i="2" s="1"/>
  <c r="AM379" i="2" a="1"/>
  <c r="AM379" i="2" s="1"/>
  <c r="AN379" i="2" s="1"/>
  <c r="AM378" i="2" a="1"/>
  <c r="AM378" i="2" s="1"/>
  <c r="AN378" i="2" s="1"/>
  <c r="AM377" i="2" a="1"/>
  <c r="AM377" i="2" s="1"/>
  <c r="AN377" i="2" s="1"/>
  <c r="AM376" i="2" a="1"/>
  <c r="AM376" i="2" s="1"/>
  <c r="AN376" i="2" s="1"/>
  <c r="AM375" i="2" a="1"/>
  <c r="AM375" i="2" s="1"/>
  <c r="AN375" i="2" s="1"/>
  <c r="AM374" i="2" a="1"/>
  <c r="AM374" i="2" s="1"/>
  <c r="AN374" i="2" s="1"/>
  <c r="AM373" i="2" a="1"/>
  <c r="AM373" i="2" s="1"/>
  <c r="AN373" i="2" s="1"/>
  <c r="AM372" i="2" a="1"/>
  <c r="AM372" i="2" s="1"/>
  <c r="AN372" i="2" s="1"/>
  <c r="AM371" i="2" a="1"/>
  <c r="AM371" i="2" s="1"/>
  <c r="AN371" i="2" s="1"/>
  <c r="AM370" i="2" a="1"/>
  <c r="AM370" i="2" s="1"/>
  <c r="AN370" i="2" s="1"/>
  <c r="AM369" i="2" a="1"/>
  <c r="AM369" i="2" s="1"/>
  <c r="AN369" i="2" s="1"/>
  <c r="AM368" i="2" a="1"/>
  <c r="AM368" i="2" s="1"/>
  <c r="AN368" i="2" s="1"/>
  <c r="AM367" i="2" a="1"/>
  <c r="AM367" i="2" s="1"/>
  <c r="AN367" i="2" s="1"/>
  <c r="AM366" i="2" a="1"/>
  <c r="AM366" i="2" s="1"/>
  <c r="AN366" i="2" s="1"/>
  <c r="AM365" i="2" a="1"/>
  <c r="AM365" i="2" s="1"/>
  <c r="AN365" i="2" s="1"/>
  <c r="AM364" i="2" a="1"/>
  <c r="AM364" i="2" s="1"/>
  <c r="AN364" i="2" s="1"/>
  <c r="AM363" i="2" a="1"/>
  <c r="AM363" i="2" s="1"/>
  <c r="AN363" i="2" s="1"/>
  <c r="AM362" i="2" a="1"/>
  <c r="AM362" i="2" s="1"/>
  <c r="AN362" i="2" s="1"/>
  <c r="AM361" i="2" a="1"/>
  <c r="AM361" i="2" s="1"/>
  <c r="AN361" i="2" s="1"/>
  <c r="AM360" i="2" a="1"/>
  <c r="AM360" i="2" s="1"/>
  <c r="AN360" i="2" s="1"/>
  <c r="AM359" i="2" a="1"/>
  <c r="AM359" i="2" s="1"/>
  <c r="AN359" i="2" s="1"/>
  <c r="AM358" i="2" a="1"/>
  <c r="AM358" i="2" s="1"/>
  <c r="AN358" i="2" s="1"/>
  <c r="AM357" i="2" a="1"/>
  <c r="AM357" i="2" s="1"/>
  <c r="AN357" i="2" s="1"/>
  <c r="AM356" i="2" a="1"/>
  <c r="AM356" i="2" s="1"/>
  <c r="AN356" i="2" s="1"/>
  <c r="AM355" i="2" a="1"/>
  <c r="AM355" i="2" s="1"/>
  <c r="AN355" i="2" s="1"/>
  <c r="AM354" i="2" a="1"/>
  <c r="AM354" i="2" s="1"/>
  <c r="AN354" i="2" s="1"/>
  <c r="AM353" i="2" a="1"/>
  <c r="AM353" i="2" s="1"/>
  <c r="AN353" i="2" s="1"/>
  <c r="AM352" i="2" a="1"/>
  <c r="AM352" i="2" s="1"/>
  <c r="AN352" i="2" s="1"/>
  <c r="AM351" i="2" a="1"/>
  <c r="AM351" i="2" s="1"/>
  <c r="AN351" i="2" s="1"/>
  <c r="AM350" i="2" a="1"/>
  <c r="AM350" i="2" s="1"/>
  <c r="AN350" i="2" s="1"/>
  <c r="AM349" i="2" a="1"/>
  <c r="AM349" i="2" s="1"/>
  <c r="AN349" i="2" s="1"/>
  <c r="AM348" i="2" a="1"/>
  <c r="AM348" i="2" s="1"/>
  <c r="AN348" i="2" s="1"/>
  <c r="AM347" i="2" a="1"/>
  <c r="AM347" i="2" s="1"/>
  <c r="AN347" i="2" s="1"/>
  <c r="AM346" i="2" a="1"/>
  <c r="AM346" i="2" s="1"/>
  <c r="AN346" i="2" s="1"/>
  <c r="AM345" i="2" a="1"/>
  <c r="AM345" i="2" s="1"/>
  <c r="AN345" i="2" s="1"/>
  <c r="AM344" i="2" a="1"/>
  <c r="AM344" i="2" s="1"/>
  <c r="AN344" i="2" s="1"/>
  <c r="AM343" i="2" a="1"/>
  <c r="AM343" i="2" s="1"/>
  <c r="AN343" i="2" s="1"/>
  <c r="AM342" i="2" a="1"/>
  <c r="AM342" i="2" s="1"/>
  <c r="AN342" i="2" s="1"/>
  <c r="AM341" i="2" a="1"/>
  <c r="AM341" i="2" s="1"/>
  <c r="AN341" i="2" s="1"/>
  <c r="AM340" i="2" a="1"/>
  <c r="AM340" i="2" s="1"/>
  <c r="AN340" i="2" s="1"/>
  <c r="AM339" i="2" a="1"/>
  <c r="AM339" i="2" s="1"/>
  <c r="AN339" i="2" s="1"/>
  <c r="AM338" i="2" a="1"/>
  <c r="AM338" i="2" s="1"/>
  <c r="AN338" i="2" s="1"/>
  <c r="AM337" i="2" a="1"/>
  <c r="AM337" i="2" s="1"/>
  <c r="AN337" i="2" s="1"/>
  <c r="AM336" i="2" a="1"/>
  <c r="AM336" i="2" s="1"/>
  <c r="AN336" i="2" s="1"/>
  <c r="AM335" i="2" a="1"/>
  <c r="AM335" i="2" s="1"/>
  <c r="AN335" i="2" s="1"/>
  <c r="AM334" i="2" a="1"/>
  <c r="AM334" i="2" s="1"/>
  <c r="AN334" i="2" s="1"/>
  <c r="AM333" i="2" a="1"/>
  <c r="AM333" i="2" s="1"/>
  <c r="AN333" i="2" s="1"/>
  <c r="AM332" i="2" a="1"/>
  <c r="AM332" i="2" s="1"/>
  <c r="AN332" i="2" s="1"/>
  <c r="AM331" i="2" a="1"/>
  <c r="AM331" i="2" s="1"/>
  <c r="AN331" i="2" s="1"/>
  <c r="AM330" i="2" a="1"/>
  <c r="AM330" i="2" s="1"/>
  <c r="AN330" i="2" s="1"/>
  <c r="AM329" i="2" a="1"/>
  <c r="AM329" i="2" s="1"/>
  <c r="AN329" i="2" s="1"/>
  <c r="AM328" i="2" a="1"/>
  <c r="AM328" i="2" s="1"/>
  <c r="AN328" i="2" s="1"/>
  <c r="AM327" i="2" a="1"/>
  <c r="AM327" i="2" s="1"/>
  <c r="AN327" i="2" s="1"/>
  <c r="AM326" i="2" a="1"/>
  <c r="AM326" i="2" s="1"/>
  <c r="AN326" i="2" s="1"/>
  <c r="AM325" i="2" a="1"/>
  <c r="AM325" i="2" s="1"/>
  <c r="AN325" i="2" s="1"/>
  <c r="AM324" i="2" a="1"/>
  <c r="AM324" i="2" s="1"/>
  <c r="AN324" i="2" s="1"/>
  <c r="AM323" i="2" a="1"/>
  <c r="AM323" i="2" s="1"/>
  <c r="AN323" i="2" s="1"/>
  <c r="AM322" i="2" a="1"/>
  <c r="AM322" i="2" s="1"/>
  <c r="AN322" i="2" s="1"/>
  <c r="AM321" i="2" a="1"/>
  <c r="AM321" i="2" s="1"/>
  <c r="AN321" i="2" s="1"/>
  <c r="AM320" i="2" a="1"/>
  <c r="AM320" i="2" s="1"/>
  <c r="AN320" i="2" s="1"/>
  <c r="AM319" i="2" a="1"/>
  <c r="AM319" i="2" s="1"/>
  <c r="AN319" i="2" s="1"/>
  <c r="AM318" i="2" a="1"/>
  <c r="AM318" i="2" s="1"/>
  <c r="AN318" i="2" s="1"/>
  <c r="AM317" i="2" a="1"/>
  <c r="AM317" i="2" s="1"/>
  <c r="AN317" i="2" s="1"/>
  <c r="AM316" i="2" a="1"/>
  <c r="AM316" i="2" s="1"/>
  <c r="AN316" i="2" s="1"/>
  <c r="AM315" i="2" a="1"/>
  <c r="AM315" i="2" s="1"/>
  <c r="AN315" i="2" s="1"/>
  <c r="AM314" i="2" a="1"/>
  <c r="AM314" i="2" s="1"/>
  <c r="AN314" i="2" s="1"/>
  <c r="AM313" i="2" a="1"/>
  <c r="AM313" i="2" s="1"/>
  <c r="AN313" i="2" s="1"/>
  <c r="AM312" i="2" a="1"/>
  <c r="AM312" i="2" s="1"/>
  <c r="AN312" i="2" s="1"/>
  <c r="AM311" i="2" a="1"/>
  <c r="AM311" i="2" s="1"/>
  <c r="AN311" i="2" s="1"/>
  <c r="AM310" i="2" a="1"/>
  <c r="AM310" i="2" s="1"/>
  <c r="AN310" i="2" s="1"/>
  <c r="AM309" i="2" a="1"/>
  <c r="AM309" i="2" s="1"/>
  <c r="AN309" i="2" s="1"/>
  <c r="AM308" i="2" a="1"/>
  <c r="AM308" i="2" s="1"/>
  <c r="AN308" i="2" s="1"/>
  <c r="AM307" i="2" a="1"/>
  <c r="AM307" i="2" s="1"/>
  <c r="AN307" i="2" s="1"/>
  <c r="AM306" i="2" a="1"/>
  <c r="AM306" i="2" s="1"/>
  <c r="AN306" i="2" s="1"/>
  <c r="AM305" i="2" a="1"/>
  <c r="AM305" i="2" s="1"/>
  <c r="AN305" i="2" s="1"/>
  <c r="AM304" i="2" a="1"/>
  <c r="AM304" i="2" s="1"/>
  <c r="AN304" i="2" s="1"/>
  <c r="AM303" i="2" a="1"/>
  <c r="AM303" i="2" s="1"/>
  <c r="AN303" i="2" s="1"/>
  <c r="AM302" i="2" a="1"/>
  <c r="AM302" i="2" s="1"/>
  <c r="AN302" i="2" s="1"/>
  <c r="AM301" i="2" a="1"/>
  <c r="AM301" i="2" s="1"/>
  <c r="AN301" i="2" s="1"/>
  <c r="AM300" i="2" a="1"/>
  <c r="AM300" i="2" s="1"/>
  <c r="AN300" i="2" s="1"/>
  <c r="AM299" i="2" a="1"/>
  <c r="AM299" i="2" s="1"/>
  <c r="AN299" i="2" s="1"/>
  <c r="AM298" i="2" a="1"/>
  <c r="AM298" i="2" s="1"/>
  <c r="AN298" i="2" s="1"/>
  <c r="AM297" i="2" a="1"/>
  <c r="AM297" i="2" s="1"/>
  <c r="AN297" i="2" s="1"/>
  <c r="AM296" i="2" a="1"/>
  <c r="AM296" i="2" s="1"/>
  <c r="AN296" i="2" s="1"/>
  <c r="AM295" i="2" a="1"/>
  <c r="AM295" i="2" s="1"/>
  <c r="AN295" i="2" s="1"/>
  <c r="AM294" i="2" a="1"/>
  <c r="AM294" i="2" s="1"/>
  <c r="AN294" i="2" s="1"/>
  <c r="AM293" i="2" a="1"/>
  <c r="AM293" i="2" s="1"/>
  <c r="AN293" i="2" s="1"/>
  <c r="AM292" i="2" a="1"/>
  <c r="AM292" i="2" s="1"/>
  <c r="AN292" i="2" s="1"/>
  <c r="AM291" i="2" a="1"/>
  <c r="AM291" i="2" s="1"/>
  <c r="AN291" i="2" s="1"/>
  <c r="AM290" i="2" a="1"/>
  <c r="AM290" i="2" s="1"/>
  <c r="AN290" i="2" s="1"/>
  <c r="AM289" i="2" a="1"/>
  <c r="AM289" i="2" s="1"/>
  <c r="AN289" i="2" s="1"/>
  <c r="AM288" i="2" a="1"/>
  <c r="AM288" i="2" s="1"/>
  <c r="AN288" i="2" s="1"/>
  <c r="AM287" i="2" a="1"/>
  <c r="AM287" i="2" s="1"/>
  <c r="AN287" i="2" s="1"/>
  <c r="AM286" i="2" a="1"/>
  <c r="AM286" i="2" s="1"/>
  <c r="AN286" i="2" s="1"/>
  <c r="AM285" i="2" a="1"/>
  <c r="AM285" i="2" s="1"/>
  <c r="AN285" i="2" s="1"/>
  <c r="AM284" i="2" a="1"/>
  <c r="AM284" i="2" s="1"/>
  <c r="AN284" i="2" s="1"/>
  <c r="AM283" i="2" a="1"/>
  <c r="AM283" i="2" s="1"/>
  <c r="AN283" i="2" s="1"/>
  <c r="AM282" i="2" a="1"/>
  <c r="AM282" i="2" s="1"/>
  <c r="AN282" i="2" s="1"/>
  <c r="AM281" i="2" a="1"/>
  <c r="AM281" i="2" s="1"/>
  <c r="AN281" i="2" s="1"/>
  <c r="AM280" i="2" a="1"/>
  <c r="AM280" i="2" s="1"/>
  <c r="AN280" i="2" s="1"/>
  <c r="AM279" i="2" a="1"/>
  <c r="AM279" i="2" s="1"/>
  <c r="AN279" i="2" s="1"/>
  <c r="AM278" i="2" a="1"/>
  <c r="AM278" i="2" s="1"/>
  <c r="AN278" i="2" s="1"/>
  <c r="AM277" i="2" a="1"/>
  <c r="AM277" i="2" s="1"/>
  <c r="AN277" i="2" s="1"/>
  <c r="AM276" i="2" a="1"/>
  <c r="AM276" i="2" s="1"/>
  <c r="AN276" i="2" s="1"/>
  <c r="AM275" i="2" a="1"/>
  <c r="AM275" i="2" s="1"/>
  <c r="AN275" i="2" s="1"/>
  <c r="AM274" i="2" a="1"/>
  <c r="AM274" i="2" s="1"/>
  <c r="AN274" i="2" s="1"/>
  <c r="AM273" i="2" a="1"/>
  <c r="AM273" i="2" s="1"/>
  <c r="AN273" i="2" s="1"/>
  <c r="AM272" i="2" a="1"/>
  <c r="AM272" i="2" s="1"/>
  <c r="AN272" i="2" s="1"/>
  <c r="AM271" i="2" a="1"/>
  <c r="AM271" i="2" s="1"/>
  <c r="AN271" i="2" s="1"/>
  <c r="AM270" i="2" a="1"/>
  <c r="AM270" i="2" s="1"/>
  <c r="AN270" i="2" s="1"/>
  <c r="AM269" i="2" a="1"/>
  <c r="AM269" i="2" s="1"/>
  <c r="AN269" i="2" s="1"/>
  <c r="AM268" i="2" a="1"/>
  <c r="AM268" i="2" s="1"/>
  <c r="AN268" i="2" s="1"/>
  <c r="AM267" i="2" a="1"/>
  <c r="AM267" i="2" s="1"/>
  <c r="AN267" i="2" s="1"/>
  <c r="AM266" i="2" a="1"/>
  <c r="AM266" i="2" s="1"/>
  <c r="AN266" i="2" s="1"/>
  <c r="AM265" i="2" a="1"/>
  <c r="AM265" i="2" s="1"/>
  <c r="AN265" i="2" s="1"/>
  <c r="AM264" i="2" a="1"/>
  <c r="AM264" i="2" s="1"/>
  <c r="AN264" i="2" s="1"/>
  <c r="AM263" i="2" a="1"/>
  <c r="AM263" i="2" s="1"/>
  <c r="AN263" i="2" s="1"/>
  <c r="AM262" i="2" a="1"/>
  <c r="AM262" i="2" s="1"/>
  <c r="AN262" i="2" s="1"/>
  <c r="AM261" i="2" a="1"/>
  <c r="AM261" i="2" s="1"/>
  <c r="AN261" i="2" s="1"/>
  <c r="AM260" i="2" a="1"/>
  <c r="AM260" i="2" s="1"/>
  <c r="AN260" i="2" s="1"/>
  <c r="AM259" i="2" a="1"/>
  <c r="AM259" i="2" s="1"/>
  <c r="AN259" i="2" s="1"/>
  <c r="AM258" i="2" a="1"/>
  <c r="AM258" i="2" s="1"/>
  <c r="AN258" i="2" s="1"/>
  <c r="AM257" i="2" a="1"/>
  <c r="AM257" i="2" s="1"/>
  <c r="AN257" i="2" s="1"/>
  <c r="AM256" i="2" a="1"/>
  <c r="AM256" i="2" s="1"/>
  <c r="AN256" i="2" s="1"/>
  <c r="AM255" i="2" a="1"/>
  <c r="AM255" i="2" s="1"/>
  <c r="AN255" i="2" s="1"/>
  <c r="AM254" i="2" a="1"/>
  <c r="AM254" i="2" s="1"/>
  <c r="AN254" i="2" s="1"/>
  <c r="AM253" i="2" a="1"/>
  <c r="AM253" i="2" s="1"/>
  <c r="AN253" i="2" s="1"/>
  <c r="AM252" i="2" a="1"/>
  <c r="AM252" i="2" s="1"/>
  <c r="AN252" i="2" s="1"/>
  <c r="AM251" i="2" a="1"/>
  <c r="AM251" i="2" s="1"/>
  <c r="AN251" i="2" s="1"/>
  <c r="AM250" i="2" a="1"/>
  <c r="AM250" i="2" s="1"/>
  <c r="AN250" i="2" s="1"/>
  <c r="AM249" i="2" a="1"/>
  <c r="AM249" i="2" s="1"/>
  <c r="AN249" i="2" s="1"/>
  <c r="AM248" i="2" a="1"/>
  <c r="AM248" i="2" s="1"/>
  <c r="AN248" i="2" s="1"/>
  <c r="AM247" i="2" a="1"/>
  <c r="AM247" i="2" s="1"/>
  <c r="AN247" i="2" s="1"/>
  <c r="AM246" i="2" a="1"/>
  <c r="AM246" i="2" s="1"/>
  <c r="AN246" i="2" s="1"/>
  <c r="AM245" i="2" a="1"/>
  <c r="AM245" i="2" s="1"/>
  <c r="AN245" i="2" s="1"/>
  <c r="AM244" i="2" a="1"/>
  <c r="AM244" i="2" s="1"/>
  <c r="AN244" i="2" s="1"/>
  <c r="AM243" i="2" a="1"/>
  <c r="AM243" i="2" s="1"/>
  <c r="AN243" i="2" s="1"/>
  <c r="AM242" i="2" a="1"/>
  <c r="AM242" i="2" s="1"/>
  <c r="AN242" i="2" s="1"/>
  <c r="AM241" i="2" a="1"/>
  <c r="AM241" i="2" s="1"/>
  <c r="AN241" i="2" s="1"/>
  <c r="AM240" i="2" a="1"/>
  <c r="AM240" i="2" s="1"/>
  <c r="AN240" i="2" s="1"/>
  <c r="AM239" i="2" a="1"/>
  <c r="AM239" i="2" s="1"/>
  <c r="AN239" i="2" s="1"/>
  <c r="AM238" i="2" a="1"/>
  <c r="AM238" i="2" s="1"/>
  <c r="AN238" i="2" s="1"/>
  <c r="AM237" i="2" a="1"/>
  <c r="AM237" i="2" s="1"/>
  <c r="AN237" i="2" s="1"/>
  <c r="AM236" i="2" a="1"/>
  <c r="AM236" i="2" s="1"/>
  <c r="AN236" i="2" s="1"/>
  <c r="AM235" i="2" a="1"/>
  <c r="AM235" i="2" s="1"/>
  <c r="AN235" i="2" s="1"/>
  <c r="AM234" i="2" a="1"/>
  <c r="AM234" i="2" s="1"/>
  <c r="AN234" i="2" s="1"/>
  <c r="AM233" i="2" a="1"/>
  <c r="AM233" i="2" s="1"/>
  <c r="AN233" i="2" s="1"/>
  <c r="AM232" i="2" a="1"/>
  <c r="AM232" i="2" s="1"/>
  <c r="AN232" i="2" s="1"/>
  <c r="AM231" i="2" a="1"/>
  <c r="AM231" i="2" s="1"/>
  <c r="AN231" i="2" s="1"/>
  <c r="AM230" i="2" a="1"/>
  <c r="AM230" i="2" s="1"/>
  <c r="AN230" i="2" s="1"/>
  <c r="AM229" i="2" a="1"/>
  <c r="AM229" i="2" s="1"/>
  <c r="AN229" i="2" s="1"/>
  <c r="AM228" i="2" a="1"/>
  <c r="AM228" i="2" s="1"/>
  <c r="AN228" i="2" s="1"/>
  <c r="AM227" i="2" a="1"/>
  <c r="AM227" i="2" s="1"/>
  <c r="AN227" i="2" s="1"/>
  <c r="AM226" i="2" a="1"/>
  <c r="AM226" i="2" s="1"/>
  <c r="AN226" i="2" s="1"/>
  <c r="AM225" i="2" a="1"/>
  <c r="AM225" i="2" s="1"/>
  <c r="AN225" i="2" s="1"/>
  <c r="AM224" i="2" a="1"/>
  <c r="AM224" i="2" s="1"/>
  <c r="AN224" i="2" s="1"/>
  <c r="AM223" i="2" a="1"/>
  <c r="AM223" i="2" s="1"/>
  <c r="AN223" i="2" s="1"/>
  <c r="AM222" i="2" a="1"/>
  <c r="AM222" i="2" s="1"/>
  <c r="AN222" i="2" s="1"/>
  <c r="AM221" i="2" a="1"/>
  <c r="AM221" i="2" s="1"/>
  <c r="AN221" i="2" s="1"/>
  <c r="AM220" i="2" a="1"/>
  <c r="AM220" i="2" s="1"/>
  <c r="AN220" i="2" s="1"/>
  <c r="AM219" i="2" a="1"/>
  <c r="AM219" i="2" s="1"/>
  <c r="AN219" i="2" s="1"/>
  <c r="AM218" i="2" a="1"/>
  <c r="AM218" i="2" s="1"/>
  <c r="AN218" i="2" s="1"/>
  <c r="AM217" i="2" a="1"/>
  <c r="AM217" i="2" s="1"/>
  <c r="AN217" i="2" s="1"/>
  <c r="AM216" i="2" a="1"/>
  <c r="AM216" i="2" s="1"/>
  <c r="AN216" i="2" s="1"/>
  <c r="AM215" i="2" a="1"/>
  <c r="AM215" i="2" s="1"/>
  <c r="AN215" i="2" s="1"/>
  <c r="AM214" i="2" a="1"/>
  <c r="AM214" i="2" s="1"/>
  <c r="AN214" i="2" s="1"/>
  <c r="AM213" i="2" a="1"/>
  <c r="AM213" i="2" s="1"/>
  <c r="AN213" i="2" s="1"/>
  <c r="AM212" i="2" a="1"/>
  <c r="AM212" i="2" s="1"/>
  <c r="AN212" i="2" s="1"/>
  <c r="AM211" i="2" a="1"/>
  <c r="AM211" i="2" s="1"/>
  <c r="AN211" i="2" s="1"/>
  <c r="AM210" i="2" a="1"/>
  <c r="AM210" i="2" s="1"/>
  <c r="AN210" i="2" s="1"/>
  <c r="AM209" i="2" a="1"/>
  <c r="AM209" i="2" s="1"/>
  <c r="AN209" i="2" s="1"/>
  <c r="AM208" i="2" a="1"/>
  <c r="AM208" i="2" s="1"/>
  <c r="AN208" i="2" s="1"/>
  <c r="AM207" i="2" a="1"/>
  <c r="AM207" i="2" s="1"/>
  <c r="AN207" i="2" s="1"/>
  <c r="AM206" i="2" a="1"/>
  <c r="AM206" i="2" s="1"/>
  <c r="AN206" i="2" s="1"/>
  <c r="AM205" i="2" a="1"/>
  <c r="AM205" i="2" s="1"/>
  <c r="AN205" i="2" s="1"/>
  <c r="AM204" i="2" a="1"/>
  <c r="AM204" i="2" s="1"/>
  <c r="AN204" i="2" s="1"/>
  <c r="AM203" i="2" a="1"/>
  <c r="AM203" i="2" s="1"/>
  <c r="AN203" i="2" s="1"/>
  <c r="AM202" i="2" a="1"/>
  <c r="AM202" i="2" s="1"/>
  <c r="AN202" i="2" s="1"/>
  <c r="AM201" i="2" a="1"/>
  <c r="AM201" i="2" s="1"/>
  <c r="AN201" i="2" s="1"/>
  <c r="AM200" i="2" a="1"/>
  <c r="AM200" i="2" s="1"/>
  <c r="AN200" i="2" s="1"/>
  <c r="AM199" i="2" a="1"/>
  <c r="AM199" i="2" s="1"/>
  <c r="AN199" i="2" s="1"/>
  <c r="AM198" i="2" a="1"/>
  <c r="AM198" i="2" s="1"/>
  <c r="AN198" i="2" s="1"/>
  <c r="AM197" i="2" a="1"/>
  <c r="AM197" i="2" s="1"/>
  <c r="AN197" i="2" s="1"/>
  <c r="AM196" i="2" a="1"/>
  <c r="AM196" i="2" s="1"/>
  <c r="AN196" i="2" s="1"/>
  <c r="AM195" i="2" a="1"/>
  <c r="AM195" i="2" s="1"/>
  <c r="AN195" i="2" s="1"/>
  <c r="AM194" i="2" a="1"/>
  <c r="AM194" i="2" s="1"/>
  <c r="AN194" i="2" s="1"/>
  <c r="AM193" i="2" a="1"/>
  <c r="AM193" i="2" s="1"/>
  <c r="AN193" i="2" s="1"/>
  <c r="AM192" i="2" a="1"/>
  <c r="AM192" i="2" s="1"/>
  <c r="AN192" i="2" s="1"/>
  <c r="AM191" i="2" a="1"/>
  <c r="AM191" i="2" s="1"/>
  <c r="AN191" i="2" s="1"/>
  <c r="AM190" i="2" a="1"/>
  <c r="AM190" i="2" s="1"/>
  <c r="AN190" i="2" s="1"/>
  <c r="AM189" i="2" a="1"/>
  <c r="AM189" i="2" s="1"/>
  <c r="AN189" i="2" s="1"/>
  <c r="AM188" i="2" a="1"/>
  <c r="AM188" i="2" s="1"/>
  <c r="AN188" i="2" s="1"/>
  <c r="AM187" i="2" a="1"/>
  <c r="AM187" i="2" s="1"/>
  <c r="AN187" i="2" s="1"/>
  <c r="AM186" i="2" a="1"/>
  <c r="AM186" i="2" s="1"/>
  <c r="AN186" i="2" s="1"/>
  <c r="AM185" i="2" a="1"/>
  <c r="AM185" i="2" s="1"/>
  <c r="AN185" i="2" s="1"/>
  <c r="AM184" i="2" a="1"/>
  <c r="AM184" i="2" s="1"/>
  <c r="AN184" i="2" s="1"/>
  <c r="AM183" i="2" a="1"/>
  <c r="AM183" i="2" s="1"/>
  <c r="AN183" i="2" s="1"/>
  <c r="AM182" i="2" a="1"/>
  <c r="AM182" i="2" s="1"/>
  <c r="AN182" i="2" s="1"/>
  <c r="AM181" i="2" a="1"/>
  <c r="AM181" i="2" s="1"/>
  <c r="AN181" i="2" s="1"/>
  <c r="AM180" i="2" a="1"/>
  <c r="AM180" i="2" s="1"/>
  <c r="AN180" i="2" s="1"/>
  <c r="AM179" i="2" a="1"/>
  <c r="AM179" i="2" s="1"/>
  <c r="AN179" i="2" s="1"/>
  <c r="AM178" i="2" a="1"/>
  <c r="AM178" i="2" s="1"/>
  <c r="AN178" i="2" s="1"/>
  <c r="AM177" i="2" a="1"/>
  <c r="AM177" i="2" s="1"/>
  <c r="AN177" i="2" s="1"/>
  <c r="AM176" i="2" a="1"/>
  <c r="AM176" i="2" s="1"/>
  <c r="AN176" i="2" s="1"/>
  <c r="AM175" i="2" a="1"/>
  <c r="AM175" i="2" s="1"/>
  <c r="AN175" i="2" s="1"/>
  <c r="AM174" i="2" a="1"/>
  <c r="AM174" i="2" s="1"/>
  <c r="AN174" i="2" s="1"/>
  <c r="AM173" i="2" a="1"/>
  <c r="AM173" i="2" s="1"/>
  <c r="AN173" i="2" s="1"/>
  <c r="AM172" i="2" a="1"/>
  <c r="AM172" i="2" s="1"/>
  <c r="AN172" i="2" s="1"/>
  <c r="AM171" i="2" a="1"/>
  <c r="AM171" i="2" s="1"/>
  <c r="AN171" i="2" s="1"/>
  <c r="AM170" i="2" a="1"/>
  <c r="AM170" i="2" s="1"/>
  <c r="AN170" i="2" s="1"/>
  <c r="AM169" i="2" a="1"/>
  <c r="AM169" i="2" s="1"/>
  <c r="AN169" i="2" s="1"/>
  <c r="AM168" i="2" a="1"/>
  <c r="AM168" i="2" s="1"/>
  <c r="AN168" i="2" s="1"/>
  <c r="AM167" i="2" a="1"/>
  <c r="AM167" i="2" s="1"/>
  <c r="AN167" i="2" s="1"/>
  <c r="AM166" i="2" a="1"/>
  <c r="AM166" i="2" s="1"/>
  <c r="AN166" i="2" s="1"/>
  <c r="AM165" i="2" a="1"/>
  <c r="AM165" i="2" s="1"/>
  <c r="AN165" i="2" s="1"/>
  <c r="AM164" i="2" a="1"/>
  <c r="AM164" i="2" s="1"/>
  <c r="AN164" i="2" s="1"/>
  <c r="AM163" i="2" a="1"/>
  <c r="AM163" i="2" s="1"/>
  <c r="AN163" i="2" s="1"/>
  <c r="AM162" i="2" a="1"/>
  <c r="AM162" i="2" s="1"/>
  <c r="AN162" i="2" s="1"/>
  <c r="AM161" i="2" a="1"/>
  <c r="AM161" i="2" s="1"/>
  <c r="AN161" i="2" s="1"/>
  <c r="AM160" i="2" a="1"/>
  <c r="AM160" i="2" s="1"/>
  <c r="AN160" i="2" s="1"/>
  <c r="AM159" i="2" a="1"/>
  <c r="AM159" i="2" s="1"/>
  <c r="AN159" i="2" s="1"/>
  <c r="AM158" i="2" a="1"/>
  <c r="AM158" i="2" s="1"/>
  <c r="AN158" i="2" s="1"/>
  <c r="AM157" i="2" a="1"/>
  <c r="AM157" i="2" s="1"/>
  <c r="AN157" i="2" s="1"/>
  <c r="AM156" i="2" a="1"/>
  <c r="AM156" i="2" s="1"/>
  <c r="AN156" i="2" s="1"/>
  <c r="AM155" i="2" a="1"/>
  <c r="AM155" i="2" s="1"/>
  <c r="AN155" i="2" s="1"/>
  <c r="AM154" i="2" a="1"/>
  <c r="AM154" i="2" s="1"/>
  <c r="AN154" i="2" s="1"/>
  <c r="AM153" i="2" a="1"/>
  <c r="AM153" i="2" s="1"/>
  <c r="AN153" i="2" s="1"/>
  <c r="AM152" i="2" a="1"/>
  <c r="AM152" i="2" s="1"/>
  <c r="AN152" i="2" s="1"/>
  <c r="AM151" i="2" a="1"/>
  <c r="AM151" i="2" s="1"/>
  <c r="AN151" i="2" s="1"/>
  <c r="AM150" i="2" a="1"/>
  <c r="AM150" i="2" s="1"/>
  <c r="AN150" i="2" s="1"/>
  <c r="AM149" i="2" a="1"/>
  <c r="AM149" i="2" s="1"/>
  <c r="AN149" i="2" s="1"/>
  <c r="AM148" i="2" a="1"/>
  <c r="AM148" i="2" s="1"/>
  <c r="AN148" i="2" s="1"/>
  <c r="AM147" i="2" a="1"/>
  <c r="AM147" i="2" s="1"/>
  <c r="AN147" i="2" s="1"/>
  <c r="AM146" i="2" a="1"/>
  <c r="AM146" i="2" s="1"/>
  <c r="AN146" i="2" s="1"/>
  <c r="AM145" i="2" a="1"/>
  <c r="AM145" i="2" s="1"/>
  <c r="AN145" i="2" s="1"/>
  <c r="AM144" i="2" a="1"/>
  <c r="AM144" i="2" s="1"/>
  <c r="AN144" i="2" s="1"/>
  <c r="AM143" i="2" a="1"/>
  <c r="AM143" i="2" s="1"/>
  <c r="AN143" i="2" s="1"/>
  <c r="AM142" i="2" a="1"/>
  <c r="AM142" i="2" s="1"/>
  <c r="AN142" i="2" s="1"/>
  <c r="AM141" i="2" a="1"/>
  <c r="AM141" i="2" s="1"/>
  <c r="AN141" i="2" s="1"/>
  <c r="AM140" i="2" a="1"/>
  <c r="AM140" i="2" s="1"/>
  <c r="AN140" i="2" s="1"/>
  <c r="AM139" i="2" a="1"/>
  <c r="AM139" i="2" s="1"/>
  <c r="AN139" i="2" s="1"/>
  <c r="AM138" i="2" a="1"/>
  <c r="AM138" i="2" s="1"/>
  <c r="AN138" i="2" s="1"/>
  <c r="AM137" i="2" a="1"/>
  <c r="AM137" i="2" s="1"/>
  <c r="AN137" i="2" s="1"/>
  <c r="AM136" i="2" a="1"/>
  <c r="AM136" i="2" s="1"/>
  <c r="AN136" i="2" s="1"/>
  <c r="AM131" i="2" a="1"/>
  <c r="AM131" i="2" s="1"/>
  <c r="AN131" i="2" s="1"/>
  <c r="AM130" i="2" a="1"/>
  <c r="AM130" i="2" s="1"/>
  <c r="AN130" i="2" s="1"/>
  <c r="AM129" i="2" a="1"/>
  <c r="AM129" i="2" s="1"/>
  <c r="AN129" i="2" s="1"/>
  <c r="AM128" i="2" a="1"/>
  <c r="AM128" i="2" s="1"/>
  <c r="AN128" i="2" s="1"/>
  <c r="AM127" i="2" a="1"/>
  <c r="AM127" i="2" s="1"/>
  <c r="AN127" i="2" s="1"/>
  <c r="AM126" i="2" a="1"/>
  <c r="AM126" i="2" s="1"/>
  <c r="AN126" i="2" s="1"/>
  <c r="AM125" i="2" a="1"/>
  <c r="AM125" i="2" s="1"/>
  <c r="AN125" i="2" s="1"/>
  <c r="AM124" i="2" a="1"/>
  <c r="AM124" i="2" s="1"/>
  <c r="AN124" i="2" s="1"/>
  <c r="AM123" i="2" a="1"/>
  <c r="AM123" i="2" s="1"/>
  <c r="AN123" i="2" s="1"/>
  <c r="AM122" i="2" a="1"/>
  <c r="AM122" i="2" s="1"/>
  <c r="AN122" i="2" s="1"/>
  <c r="AM121" i="2" a="1"/>
  <c r="AM121" i="2" s="1"/>
  <c r="AN121" i="2" s="1"/>
  <c r="AM120" i="2" a="1"/>
  <c r="AM120" i="2" s="1"/>
  <c r="AN120" i="2" s="1"/>
  <c r="AM119" i="2" a="1"/>
  <c r="AM119" i="2" s="1"/>
  <c r="AN119" i="2" s="1"/>
  <c r="AM118" i="2" a="1"/>
  <c r="AM118" i="2" s="1"/>
  <c r="AN118" i="2" s="1"/>
  <c r="AM117" i="2" a="1"/>
  <c r="AM117" i="2" s="1"/>
  <c r="AN117" i="2" s="1"/>
  <c r="AM116" i="2" a="1"/>
  <c r="AM116" i="2" s="1"/>
  <c r="AN116" i="2" s="1"/>
  <c r="AM115" i="2" a="1"/>
  <c r="AM115" i="2" s="1"/>
  <c r="AN115" i="2" s="1"/>
  <c r="AM114" i="2" a="1"/>
  <c r="AM114" i="2" s="1"/>
  <c r="AN114" i="2" s="1"/>
  <c r="AM113" i="2" a="1"/>
  <c r="AM113" i="2" s="1"/>
  <c r="AN113" i="2" s="1"/>
  <c r="AM112" i="2" a="1"/>
  <c r="AM112" i="2" s="1"/>
  <c r="AN112" i="2" s="1"/>
  <c r="AM111" i="2" a="1"/>
  <c r="AM111" i="2" s="1"/>
  <c r="AN111" i="2" s="1"/>
  <c r="AM110" i="2" a="1"/>
  <c r="AM110" i="2" s="1"/>
  <c r="AN110" i="2" s="1"/>
  <c r="AM109" i="2" a="1"/>
  <c r="AM109" i="2" s="1"/>
  <c r="AN109" i="2" s="1"/>
  <c r="AM108" i="2" a="1"/>
  <c r="AM108" i="2" s="1"/>
  <c r="AN108" i="2" s="1"/>
  <c r="AM107" i="2" a="1"/>
  <c r="AM107" i="2" s="1"/>
  <c r="AN107" i="2" s="1"/>
  <c r="AM498" i="2"/>
  <c r="AJ497" i="2" a="1"/>
  <c r="AJ497" i="2" s="1"/>
  <c r="AK497" i="2" s="1"/>
  <c r="AJ496" i="2" a="1"/>
  <c r="AJ496" i="2" s="1"/>
  <c r="AK496" i="2" s="1"/>
  <c r="AJ495" i="2" a="1"/>
  <c r="AJ495" i="2" s="1"/>
  <c r="AK495" i="2" s="1"/>
  <c r="AJ494" i="2" a="1"/>
  <c r="AJ494" i="2" s="1"/>
  <c r="AK494" i="2" s="1"/>
  <c r="AJ493" i="2" a="1"/>
  <c r="AJ493" i="2" s="1"/>
  <c r="AK493" i="2" s="1"/>
  <c r="AJ492" i="2" a="1"/>
  <c r="AJ492" i="2" s="1"/>
  <c r="AK492" i="2" s="1"/>
  <c r="AJ491" i="2" a="1"/>
  <c r="AJ491" i="2" s="1"/>
  <c r="AK491" i="2" s="1"/>
  <c r="AJ490" i="2" a="1"/>
  <c r="AJ490" i="2" s="1"/>
  <c r="AK490" i="2" s="1"/>
  <c r="AJ489" i="2" a="1"/>
  <c r="AJ489" i="2" s="1"/>
  <c r="AK489" i="2" s="1"/>
  <c r="AJ488" i="2" a="1"/>
  <c r="AJ488" i="2" s="1"/>
  <c r="AK488" i="2" s="1"/>
  <c r="AJ487" i="2" a="1"/>
  <c r="AJ487" i="2" s="1"/>
  <c r="AK487" i="2" s="1"/>
  <c r="AJ486" i="2" a="1"/>
  <c r="AJ486" i="2" s="1"/>
  <c r="AK486" i="2" s="1"/>
  <c r="AJ485" i="2" a="1"/>
  <c r="AJ485" i="2" s="1"/>
  <c r="AK485" i="2" s="1"/>
  <c r="AJ484" i="2" a="1"/>
  <c r="AJ484" i="2" s="1"/>
  <c r="AK484" i="2" s="1"/>
  <c r="AJ483" i="2" a="1"/>
  <c r="AJ483" i="2" s="1"/>
  <c r="AK483" i="2" s="1"/>
  <c r="AJ482" i="2" a="1"/>
  <c r="AJ482" i="2" s="1"/>
  <c r="AK482" i="2" s="1"/>
  <c r="AJ481" i="2" a="1"/>
  <c r="AJ481" i="2" s="1"/>
  <c r="AK481" i="2" s="1"/>
  <c r="AJ480" i="2" a="1"/>
  <c r="AJ480" i="2" s="1"/>
  <c r="AK480" i="2" s="1"/>
  <c r="AJ479" i="2" a="1"/>
  <c r="AJ479" i="2" s="1"/>
  <c r="AK479" i="2" s="1"/>
  <c r="AJ478" i="2" a="1"/>
  <c r="AJ478" i="2" s="1"/>
  <c r="AK478" i="2" s="1"/>
  <c r="AJ477" i="2" a="1"/>
  <c r="AJ477" i="2" s="1"/>
  <c r="AK477" i="2" s="1"/>
  <c r="AJ476" i="2" a="1"/>
  <c r="AJ476" i="2" s="1"/>
  <c r="AK476" i="2" s="1"/>
  <c r="AJ475" i="2" a="1"/>
  <c r="AJ475" i="2" s="1"/>
  <c r="AK475" i="2" s="1"/>
  <c r="AJ474" i="2" a="1"/>
  <c r="AJ474" i="2" s="1"/>
  <c r="AK474" i="2" s="1"/>
  <c r="AJ473" i="2" a="1"/>
  <c r="AJ473" i="2" s="1"/>
  <c r="AK473" i="2" s="1"/>
  <c r="AJ472" i="2" a="1"/>
  <c r="AJ472" i="2" s="1"/>
  <c r="AK472" i="2" s="1"/>
  <c r="AJ471" i="2" a="1"/>
  <c r="AJ471" i="2" s="1"/>
  <c r="AK471" i="2" s="1"/>
  <c r="AJ470" i="2" a="1"/>
  <c r="AJ470" i="2" s="1"/>
  <c r="AK470" i="2" s="1"/>
  <c r="AJ469" i="2" a="1"/>
  <c r="AJ469" i="2" s="1"/>
  <c r="AK469" i="2" s="1"/>
  <c r="AJ468" i="2" a="1"/>
  <c r="AJ468" i="2" s="1"/>
  <c r="AK468" i="2" s="1"/>
  <c r="AJ467" i="2" a="1"/>
  <c r="AJ467" i="2" s="1"/>
  <c r="AK467" i="2" s="1"/>
  <c r="AJ466" i="2" a="1"/>
  <c r="AJ466" i="2" s="1"/>
  <c r="AK466" i="2" s="1"/>
  <c r="AJ465" i="2" a="1"/>
  <c r="AJ465" i="2" s="1"/>
  <c r="AK465" i="2" s="1"/>
  <c r="AJ464" i="2" a="1"/>
  <c r="AJ464" i="2" s="1"/>
  <c r="AK464" i="2" s="1"/>
  <c r="AJ463" i="2" a="1"/>
  <c r="AJ463" i="2" s="1"/>
  <c r="AK463" i="2" s="1"/>
  <c r="AJ462" i="2" a="1"/>
  <c r="AJ462" i="2" s="1"/>
  <c r="AK462" i="2" s="1"/>
  <c r="AJ461" i="2" a="1"/>
  <c r="AJ461" i="2" s="1"/>
  <c r="AK461" i="2" s="1"/>
  <c r="AJ460" i="2" a="1"/>
  <c r="AJ460" i="2" s="1"/>
  <c r="AK460" i="2" s="1"/>
  <c r="AJ459" i="2" a="1"/>
  <c r="AJ459" i="2" s="1"/>
  <c r="AK459" i="2" s="1"/>
  <c r="AJ458" i="2" a="1"/>
  <c r="AJ458" i="2" s="1"/>
  <c r="AK458" i="2" s="1"/>
  <c r="AJ457" i="2" a="1"/>
  <c r="AJ457" i="2" s="1"/>
  <c r="AK457" i="2" s="1"/>
  <c r="AJ456" i="2" a="1"/>
  <c r="AJ456" i="2" s="1"/>
  <c r="AK456" i="2" s="1"/>
  <c r="AJ455" i="2" a="1"/>
  <c r="AJ455" i="2" s="1"/>
  <c r="AK455" i="2" s="1"/>
  <c r="AJ454" i="2" a="1"/>
  <c r="AJ454" i="2" s="1"/>
  <c r="AK454" i="2" s="1"/>
  <c r="AJ453" i="2" a="1"/>
  <c r="AJ453" i="2" s="1"/>
  <c r="AK453" i="2" s="1"/>
  <c r="AJ452" i="2" a="1"/>
  <c r="AJ452" i="2" s="1"/>
  <c r="AK452" i="2" s="1"/>
  <c r="AJ451" i="2" a="1"/>
  <c r="AJ451" i="2" s="1"/>
  <c r="AK451" i="2" s="1"/>
  <c r="AJ450" i="2" a="1"/>
  <c r="AJ450" i="2" s="1"/>
  <c r="AK450" i="2" s="1"/>
  <c r="AJ449" i="2" a="1"/>
  <c r="AJ449" i="2" s="1"/>
  <c r="AK449" i="2" s="1"/>
  <c r="AJ448" i="2" a="1"/>
  <c r="AJ448" i="2" s="1"/>
  <c r="AK448" i="2" s="1"/>
  <c r="AJ447" i="2" a="1"/>
  <c r="AJ447" i="2" s="1"/>
  <c r="AK447" i="2" s="1"/>
  <c r="AJ446" i="2" a="1"/>
  <c r="AJ446" i="2" s="1"/>
  <c r="AK446" i="2" s="1"/>
  <c r="AJ445" i="2" a="1"/>
  <c r="AJ445" i="2" s="1"/>
  <c r="AK445" i="2" s="1"/>
  <c r="AJ444" i="2" a="1"/>
  <c r="AJ444" i="2" s="1"/>
  <c r="AK444" i="2" s="1"/>
  <c r="AJ443" i="2" a="1"/>
  <c r="AJ443" i="2" s="1"/>
  <c r="AK443" i="2" s="1"/>
  <c r="AJ442" i="2" a="1"/>
  <c r="AJ442" i="2" s="1"/>
  <c r="AK442" i="2" s="1"/>
  <c r="AJ441" i="2" a="1"/>
  <c r="AJ441" i="2" s="1"/>
  <c r="AK441" i="2" s="1"/>
  <c r="AJ440" i="2" a="1"/>
  <c r="AJ440" i="2" s="1"/>
  <c r="AK440" i="2" s="1"/>
  <c r="AJ439" i="2" a="1"/>
  <c r="AJ439" i="2" s="1"/>
  <c r="AK439" i="2" s="1"/>
  <c r="AJ438" i="2" a="1"/>
  <c r="AJ438" i="2" s="1"/>
  <c r="AK438" i="2" s="1"/>
  <c r="AJ437" i="2" a="1"/>
  <c r="AJ437" i="2" s="1"/>
  <c r="AK437" i="2" s="1"/>
  <c r="AJ436" i="2" a="1"/>
  <c r="AJ436" i="2" s="1"/>
  <c r="AK436" i="2" s="1"/>
  <c r="AJ435" i="2" a="1"/>
  <c r="AJ435" i="2" s="1"/>
  <c r="AK435" i="2" s="1"/>
  <c r="AJ434" i="2" a="1"/>
  <c r="AJ434" i="2" s="1"/>
  <c r="AK434" i="2" s="1"/>
  <c r="AJ433" i="2" a="1"/>
  <c r="AJ433" i="2" s="1"/>
  <c r="AK433" i="2" s="1"/>
  <c r="AJ432" i="2" a="1"/>
  <c r="AJ432" i="2" s="1"/>
  <c r="AK432" i="2" s="1"/>
  <c r="AJ431" i="2" a="1"/>
  <c r="AJ431" i="2" s="1"/>
  <c r="AK431" i="2" s="1"/>
  <c r="AJ430" i="2" a="1"/>
  <c r="AJ430" i="2" s="1"/>
  <c r="AK430" i="2" s="1"/>
  <c r="AJ429" i="2" a="1"/>
  <c r="AJ429" i="2" s="1"/>
  <c r="AK429" i="2" s="1"/>
  <c r="AJ428" i="2" a="1"/>
  <c r="AJ428" i="2" s="1"/>
  <c r="AK428" i="2" s="1"/>
  <c r="AJ427" i="2" a="1"/>
  <c r="AJ427" i="2" s="1"/>
  <c r="AK427" i="2" s="1"/>
  <c r="AJ426" i="2" a="1"/>
  <c r="AJ426" i="2" s="1"/>
  <c r="AK426" i="2" s="1"/>
  <c r="AJ425" i="2" a="1"/>
  <c r="AJ425" i="2" s="1"/>
  <c r="AK425" i="2" s="1"/>
  <c r="AJ424" i="2" a="1"/>
  <c r="AJ424" i="2" s="1"/>
  <c r="AK424" i="2" s="1"/>
  <c r="AJ423" i="2" a="1"/>
  <c r="AJ423" i="2" s="1"/>
  <c r="AK423" i="2" s="1"/>
  <c r="AJ422" i="2" a="1"/>
  <c r="AJ422" i="2" s="1"/>
  <c r="AK422" i="2" s="1"/>
  <c r="AJ421" i="2" a="1"/>
  <c r="AJ421" i="2" s="1"/>
  <c r="AK421" i="2" s="1"/>
  <c r="AJ420" i="2" a="1"/>
  <c r="AJ420" i="2" s="1"/>
  <c r="AK420" i="2" s="1"/>
  <c r="AJ419" i="2" a="1"/>
  <c r="AJ419" i="2" s="1"/>
  <c r="AK419" i="2" s="1"/>
  <c r="AJ418" i="2" a="1"/>
  <c r="AJ418" i="2" s="1"/>
  <c r="AK418" i="2" s="1"/>
  <c r="AJ417" i="2" a="1"/>
  <c r="AJ417" i="2" s="1"/>
  <c r="AK417" i="2" s="1"/>
  <c r="AJ416" i="2" a="1"/>
  <c r="AJ416" i="2" s="1"/>
  <c r="AK416" i="2" s="1"/>
  <c r="AJ415" i="2" a="1"/>
  <c r="AJ415" i="2" s="1"/>
  <c r="AK415" i="2" s="1"/>
  <c r="AJ414" i="2" a="1"/>
  <c r="AJ414" i="2" s="1"/>
  <c r="AK414" i="2" s="1"/>
  <c r="AJ413" i="2" a="1"/>
  <c r="AJ413" i="2" s="1"/>
  <c r="AK413" i="2" s="1"/>
  <c r="AJ412" i="2" a="1"/>
  <c r="AJ412" i="2" s="1"/>
  <c r="AK412" i="2" s="1"/>
  <c r="AJ411" i="2" a="1"/>
  <c r="AJ411" i="2" s="1"/>
  <c r="AK411" i="2" s="1"/>
  <c r="AJ410" i="2" a="1"/>
  <c r="AJ410" i="2" s="1"/>
  <c r="AK410" i="2" s="1"/>
  <c r="AJ409" i="2" a="1"/>
  <c r="AJ409" i="2" s="1"/>
  <c r="AK409" i="2" s="1"/>
  <c r="AJ408" i="2" a="1"/>
  <c r="AJ408" i="2" s="1"/>
  <c r="AK408" i="2" s="1"/>
  <c r="AJ407" i="2" a="1"/>
  <c r="AJ407" i="2" s="1"/>
  <c r="AK407" i="2" s="1"/>
  <c r="AJ406" i="2" a="1"/>
  <c r="AJ406" i="2" s="1"/>
  <c r="AK406" i="2" s="1"/>
  <c r="AJ405" i="2" a="1"/>
  <c r="AJ405" i="2" s="1"/>
  <c r="AK405" i="2" s="1"/>
  <c r="AJ404" i="2" a="1"/>
  <c r="AJ404" i="2" s="1"/>
  <c r="AK404" i="2" s="1"/>
  <c r="AJ403" i="2" a="1"/>
  <c r="AJ403" i="2" s="1"/>
  <c r="AK403" i="2" s="1"/>
  <c r="AJ402" i="2" a="1"/>
  <c r="AJ402" i="2" s="1"/>
  <c r="AK402" i="2" s="1"/>
  <c r="AJ401" i="2" a="1"/>
  <c r="AJ401" i="2" s="1"/>
  <c r="AK401" i="2" s="1"/>
  <c r="AJ400" i="2" a="1"/>
  <c r="AJ400" i="2" s="1"/>
  <c r="AK400" i="2" s="1"/>
  <c r="AJ399" i="2" a="1"/>
  <c r="AJ399" i="2" s="1"/>
  <c r="AK399" i="2" s="1"/>
  <c r="AJ398" i="2" a="1"/>
  <c r="AJ398" i="2" s="1"/>
  <c r="AK398" i="2" s="1"/>
  <c r="AJ397" i="2" a="1"/>
  <c r="AJ397" i="2" s="1"/>
  <c r="AK397" i="2" s="1"/>
  <c r="AJ396" i="2" a="1"/>
  <c r="AJ396" i="2" s="1"/>
  <c r="AK396" i="2" s="1"/>
  <c r="AJ395" i="2" a="1"/>
  <c r="AJ395" i="2" s="1"/>
  <c r="AK395" i="2" s="1"/>
  <c r="AJ394" i="2" a="1"/>
  <c r="AJ394" i="2" s="1"/>
  <c r="AK394" i="2" s="1"/>
  <c r="AJ393" i="2" a="1"/>
  <c r="AJ393" i="2" s="1"/>
  <c r="AK393" i="2" s="1"/>
  <c r="AJ392" i="2" a="1"/>
  <c r="AJ392" i="2" s="1"/>
  <c r="AK392" i="2" s="1"/>
  <c r="AJ391" i="2" a="1"/>
  <c r="AJ391" i="2" s="1"/>
  <c r="AK391" i="2" s="1"/>
  <c r="AJ390" i="2" a="1"/>
  <c r="AJ390" i="2" s="1"/>
  <c r="AK390" i="2" s="1"/>
  <c r="AJ389" i="2" a="1"/>
  <c r="AJ389" i="2" s="1"/>
  <c r="AK389" i="2" s="1"/>
  <c r="AJ388" i="2" a="1"/>
  <c r="AJ388" i="2" s="1"/>
  <c r="AK388" i="2" s="1"/>
  <c r="AJ387" i="2" a="1"/>
  <c r="AJ387" i="2" s="1"/>
  <c r="AK387" i="2" s="1"/>
  <c r="AJ386" i="2" a="1"/>
  <c r="AJ386" i="2" s="1"/>
  <c r="AK386" i="2" s="1"/>
  <c r="AJ385" i="2" a="1"/>
  <c r="AJ385" i="2" s="1"/>
  <c r="AK385" i="2" s="1"/>
  <c r="AJ384" i="2" a="1"/>
  <c r="AJ384" i="2" s="1"/>
  <c r="AK384" i="2" s="1"/>
  <c r="AJ383" i="2" a="1"/>
  <c r="AJ383" i="2" s="1"/>
  <c r="AK383" i="2" s="1"/>
  <c r="AJ382" i="2" a="1"/>
  <c r="AJ382" i="2" s="1"/>
  <c r="AK382" i="2" s="1"/>
  <c r="AJ381" i="2" a="1"/>
  <c r="AJ381" i="2" s="1"/>
  <c r="AK381" i="2" s="1"/>
  <c r="AJ380" i="2" a="1"/>
  <c r="AJ380" i="2" s="1"/>
  <c r="AK380" i="2" s="1"/>
  <c r="AJ379" i="2" a="1"/>
  <c r="AJ379" i="2" s="1"/>
  <c r="AK379" i="2" s="1"/>
  <c r="AJ378" i="2" a="1"/>
  <c r="AJ378" i="2" s="1"/>
  <c r="AK378" i="2" s="1"/>
  <c r="AJ377" i="2" a="1"/>
  <c r="AJ377" i="2" s="1"/>
  <c r="AK377" i="2" s="1"/>
  <c r="AJ376" i="2" a="1"/>
  <c r="AJ376" i="2" s="1"/>
  <c r="AK376" i="2" s="1"/>
  <c r="AJ375" i="2" a="1"/>
  <c r="AJ375" i="2" s="1"/>
  <c r="AK375" i="2" s="1"/>
  <c r="AJ374" i="2" a="1"/>
  <c r="AJ374" i="2" s="1"/>
  <c r="AK374" i="2" s="1"/>
  <c r="AJ373" i="2" a="1"/>
  <c r="AJ373" i="2" s="1"/>
  <c r="AK373" i="2" s="1"/>
  <c r="AJ372" i="2" a="1"/>
  <c r="AJ372" i="2" s="1"/>
  <c r="AK372" i="2" s="1"/>
  <c r="AJ371" i="2" a="1"/>
  <c r="AJ371" i="2" s="1"/>
  <c r="AK371" i="2" s="1"/>
  <c r="AJ370" i="2" a="1"/>
  <c r="AJ370" i="2" s="1"/>
  <c r="AK370" i="2" s="1"/>
  <c r="AJ369" i="2" a="1"/>
  <c r="AJ369" i="2" s="1"/>
  <c r="AK369" i="2" s="1"/>
  <c r="AJ368" i="2" a="1"/>
  <c r="AJ368" i="2" s="1"/>
  <c r="AK368" i="2" s="1"/>
  <c r="AJ367" i="2" a="1"/>
  <c r="AJ367" i="2" s="1"/>
  <c r="AK367" i="2" s="1"/>
  <c r="AJ366" i="2" a="1"/>
  <c r="AJ366" i="2" s="1"/>
  <c r="AK366" i="2" s="1"/>
  <c r="AJ365" i="2" a="1"/>
  <c r="AJ365" i="2" s="1"/>
  <c r="AK365" i="2" s="1"/>
  <c r="AJ364" i="2" a="1"/>
  <c r="AJ364" i="2" s="1"/>
  <c r="AK364" i="2" s="1"/>
  <c r="AJ363" i="2" a="1"/>
  <c r="AJ363" i="2" s="1"/>
  <c r="AK363" i="2" s="1"/>
  <c r="AJ362" i="2" a="1"/>
  <c r="AJ362" i="2" s="1"/>
  <c r="AK362" i="2" s="1"/>
  <c r="AJ361" i="2" a="1"/>
  <c r="AJ361" i="2" s="1"/>
  <c r="AK361" i="2" s="1"/>
  <c r="AJ360" i="2" a="1"/>
  <c r="AJ360" i="2" s="1"/>
  <c r="AK360" i="2" s="1"/>
  <c r="AJ359" i="2" a="1"/>
  <c r="AJ359" i="2" s="1"/>
  <c r="AK359" i="2" s="1"/>
  <c r="AJ358" i="2" a="1"/>
  <c r="AJ358" i="2" s="1"/>
  <c r="AK358" i="2" s="1"/>
  <c r="AJ357" i="2" a="1"/>
  <c r="AJ357" i="2" s="1"/>
  <c r="AK357" i="2" s="1"/>
  <c r="AJ356" i="2" a="1"/>
  <c r="AJ356" i="2" s="1"/>
  <c r="AK356" i="2" s="1"/>
  <c r="AJ355" i="2" a="1"/>
  <c r="AJ355" i="2" s="1"/>
  <c r="AK355" i="2" s="1"/>
  <c r="AJ354" i="2" a="1"/>
  <c r="AJ354" i="2" s="1"/>
  <c r="AK354" i="2" s="1"/>
  <c r="AJ353" i="2" a="1"/>
  <c r="AJ353" i="2" s="1"/>
  <c r="AK353" i="2" s="1"/>
  <c r="AJ352" i="2" a="1"/>
  <c r="AJ352" i="2" s="1"/>
  <c r="AK352" i="2" s="1"/>
  <c r="AJ351" i="2" a="1"/>
  <c r="AJ351" i="2" s="1"/>
  <c r="AK351" i="2" s="1"/>
  <c r="AJ350" i="2" a="1"/>
  <c r="AJ350" i="2" s="1"/>
  <c r="AK350" i="2" s="1"/>
  <c r="AJ349" i="2" a="1"/>
  <c r="AJ349" i="2" s="1"/>
  <c r="AK349" i="2" s="1"/>
  <c r="AJ348" i="2" a="1"/>
  <c r="AJ348" i="2" s="1"/>
  <c r="AK348" i="2" s="1"/>
  <c r="AJ347" i="2" a="1"/>
  <c r="AJ347" i="2" s="1"/>
  <c r="AK347" i="2" s="1"/>
  <c r="AJ346" i="2" a="1"/>
  <c r="AJ346" i="2" s="1"/>
  <c r="AK346" i="2" s="1"/>
  <c r="AJ345" i="2" a="1"/>
  <c r="AJ345" i="2" s="1"/>
  <c r="AK345" i="2" s="1"/>
  <c r="AJ344" i="2" a="1"/>
  <c r="AJ344" i="2" s="1"/>
  <c r="AK344" i="2" s="1"/>
  <c r="AJ343" i="2" a="1"/>
  <c r="AJ343" i="2" s="1"/>
  <c r="AK343" i="2" s="1"/>
  <c r="AJ342" i="2" a="1"/>
  <c r="AJ342" i="2" s="1"/>
  <c r="AK342" i="2" s="1"/>
  <c r="AJ341" i="2" a="1"/>
  <c r="AJ341" i="2" s="1"/>
  <c r="AK341" i="2" s="1"/>
  <c r="AJ340" i="2" a="1"/>
  <c r="AJ340" i="2" s="1"/>
  <c r="AK340" i="2" s="1"/>
  <c r="AJ339" i="2" a="1"/>
  <c r="AJ339" i="2" s="1"/>
  <c r="AK339" i="2" s="1"/>
  <c r="AJ338" i="2" a="1"/>
  <c r="AJ338" i="2" s="1"/>
  <c r="AK338" i="2" s="1"/>
  <c r="AJ337" i="2" a="1"/>
  <c r="AJ337" i="2" s="1"/>
  <c r="AK337" i="2" s="1"/>
  <c r="AJ336" i="2" a="1"/>
  <c r="AJ336" i="2" s="1"/>
  <c r="AK336" i="2" s="1"/>
  <c r="AJ335" i="2" a="1"/>
  <c r="AJ335" i="2" s="1"/>
  <c r="AK335" i="2" s="1"/>
  <c r="AJ334" i="2" a="1"/>
  <c r="AJ334" i="2" s="1"/>
  <c r="AK334" i="2" s="1"/>
  <c r="AJ333" i="2" a="1"/>
  <c r="AJ333" i="2" s="1"/>
  <c r="AK333" i="2" s="1"/>
  <c r="AJ332" i="2" a="1"/>
  <c r="AJ332" i="2" s="1"/>
  <c r="AK332" i="2" s="1"/>
  <c r="AJ331" i="2" a="1"/>
  <c r="AJ331" i="2" s="1"/>
  <c r="AK331" i="2" s="1"/>
  <c r="AJ330" i="2" a="1"/>
  <c r="AJ330" i="2" s="1"/>
  <c r="AK330" i="2" s="1"/>
  <c r="AJ329" i="2" a="1"/>
  <c r="AJ329" i="2" s="1"/>
  <c r="AK329" i="2" s="1"/>
  <c r="AJ328" i="2" a="1"/>
  <c r="AJ328" i="2" s="1"/>
  <c r="AK328" i="2" s="1"/>
  <c r="AJ327" i="2" a="1"/>
  <c r="AJ327" i="2" s="1"/>
  <c r="AK327" i="2" s="1"/>
  <c r="AJ326" i="2" a="1"/>
  <c r="AJ326" i="2" s="1"/>
  <c r="AK326" i="2" s="1"/>
  <c r="AJ325" i="2" a="1"/>
  <c r="AJ325" i="2" s="1"/>
  <c r="AK325" i="2" s="1"/>
  <c r="AJ324" i="2" a="1"/>
  <c r="AJ324" i="2" s="1"/>
  <c r="AK324" i="2" s="1"/>
  <c r="AJ323" i="2" a="1"/>
  <c r="AJ323" i="2" s="1"/>
  <c r="AK323" i="2" s="1"/>
  <c r="AJ322" i="2" a="1"/>
  <c r="AJ322" i="2" s="1"/>
  <c r="AK322" i="2" s="1"/>
  <c r="AJ321" i="2" a="1"/>
  <c r="AJ321" i="2" s="1"/>
  <c r="AK321" i="2" s="1"/>
  <c r="AJ320" i="2" a="1"/>
  <c r="AJ320" i="2" s="1"/>
  <c r="AK320" i="2" s="1"/>
  <c r="AJ319" i="2" a="1"/>
  <c r="AJ319" i="2" s="1"/>
  <c r="AK319" i="2" s="1"/>
  <c r="AJ318" i="2" a="1"/>
  <c r="AJ318" i="2" s="1"/>
  <c r="AK318" i="2" s="1"/>
  <c r="AJ317" i="2" a="1"/>
  <c r="AJ317" i="2" s="1"/>
  <c r="AK317" i="2" s="1"/>
  <c r="AJ316" i="2" a="1"/>
  <c r="AJ316" i="2" s="1"/>
  <c r="AK316" i="2" s="1"/>
  <c r="AJ315" i="2" a="1"/>
  <c r="AJ315" i="2" s="1"/>
  <c r="AK315" i="2" s="1"/>
  <c r="AJ314" i="2" a="1"/>
  <c r="AJ314" i="2" s="1"/>
  <c r="AK314" i="2" s="1"/>
  <c r="AJ313" i="2" a="1"/>
  <c r="AJ313" i="2" s="1"/>
  <c r="AK313" i="2" s="1"/>
  <c r="AJ312" i="2" a="1"/>
  <c r="AJ312" i="2" s="1"/>
  <c r="AK312" i="2" s="1"/>
  <c r="AJ311" i="2" a="1"/>
  <c r="AJ311" i="2" s="1"/>
  <c r="AK311" i="2" s="1"/>
  <c r="AJ310" i="2" a="1"/>
  <c r="AJ310" i="2" s="1"/>
  <c r="AK310" i="2" s="1"/>
  <c r="AJ309" i="2" a="1"/>
  <c r="AJ309" i="2" s="1"/>
  <c r="AK309" i="2" s="1"/>
  <c r="AJ308" i="2" a="1"/>
  <c r="AJ308" i="2" s="1"/>
  <c r="AK308" i="2" s="1"/>
  <c r="AJ307" i="2" a="1"/>
  <c r="AJ307" i="2" s="1"/>
  <c r="AK307" i="2" s="1"/>
  <c r="AJ306" i="2" a="1"/>
  <c r="AJ306" i="2" s="1"/>
  <c r="AK306" i="2" s="1"/>
  <c r="AJ305" i="2" a="1"/>
  <c r="AJ305" i="2" s="1"/>
  <c r="AK305" i="2" s="1"/>
  <c r="AJ304" i="2" a="1"/>
  <c r="AJ304" i="2" s="1"/>
  <c r="AK304" i="2" s="1"/>
  <c r="AJ303" i="2" a="1"/>
  <c r="AJ303" i="2" s="1"/>
  <c r="AK303" i="2" s="1"/>
  <c r="AJ302" i="2" a="1"/>
  <c r="AJ302" i="2" s="1"/>
  <c r="AK302" i="2" s="1"/>
  <c r="AJ301" i="2" a="1"/>
  <c r="AJ301" i="2" s="1"/>
  <c r="AK301" i="2" s="1"/>
  <c r="AJ300" i="2" a="1"/>
  <c r="AJ300" i="2" s="1"/>
  <c r="AK300" i="2" s="1"/>
  <c r="AJ299" i="2" a="1"/>
  <c r="AJ299" i="2" s="1"/>
  <c r="AK299" i="2" s="1"/>
  <c r="AJ298" i="2" a="1"/>
  <c r="AJ298" i="2" s="1"/>
  <c r="AK298" i="2" s="1"/>
  <c r="AJ297" i="2" a="1"/>
  <c r="AJ297" i="2" s="1"/>
  <c r="AK297" i="2" s="1"/>
  <c r="AJ296" i="2" a="1"/>
  <c r="AJ296" i="2" s="1"/>
  <c r="AK296" i="2" s="1"/>
  <c r="AJ295" i="2" a="1"/>
  <c r="AJ295" i="2" s="1"/>
  <c r="AK295" i="2" s="1"/>
  <c r="AJ294" i="2" a="1"/>
  <c r="AJ294" i="2" s="1"/>
  <c r="AK294" i="2" s="1"/>
  <c r="AJ293" i="2" a="1"/>
  <c r="AJ293" i="2" s="1"/>
  <c r="AK293" i="2" s="1"/>
  <c r="AJ292" i="2" a="1"/>
  <c r="AJ292" i="2" s="1"/>
  <c r="AK292" i="2" s="1"/>
  <c r="AJ291" i="2" a="1"/>
  <c r="AJ291" i="2" s="1"/>
  <c r="AK291" i="2" s="1"/>
  <c r="AJ290" i="2" a="1"/>
  <c r="AJ290" i="2" s="1"/>
  <c r="AK290" i="2" s="1"/>
  <c r="AJ289" i="2" a="1"/>
  <c r="AJ289" i="2" s="1"/>
  <c r="AK289" i="2" s="1"/>
  <c r="AJ288" i="2" a="1"/>
  <c r="AJ288" i="2" s="1"/>
  <c r="AK288" i="2" s="1"/>
  <c r="AJ287" i="2" a="1"/>
  <c r="AJ287" i="2" s="1"/>
  <c r="AK287" i="2" s="1"/>
  <c r="AJ286" i="2" a="1"/>
  <c r="AJ286" i="2" s="1"/>
  <c r="AK286" i="2" s="1"/>
  <c r="AJ285" i="2" a="1"/>
  <c r="AJ285" i="2" s="1"/>
  <c r="AK285" i="2" s="1"/>
  <c r="AJ284" i="2" a="1"/>
  <c r="AJ284" i="2" s="1"/>
  <c r="AK284" i="2" s="1"/>
  <c r="AJ283" i="2" a="1"/>
  <c r="AJ283" i="2" s="1"/>
  <c r="AK283" i="2" s="1"/>
  <c r="AJ282" i="2" a="1"/>
  <c r="AJ282" i="2" s="1"/>
  <c r="AK282" i="2" s="1"/>
  <c r="AJ281" i="2" a="1"/>
  <c r="AJ281" i="2" s="1"/>
  <c r="AK281" i="2" s="1"/>
  <c r="AJ280" i="2" a="1"/>
  <c r="AJ280" i="2" s="1"/>
  <c r="AK280" i="2" s="1"/>
  <c r="AJ279" i="2" a="1"/>
  <c r="AJ279" i="2" s="1"/>
  <c r="AK279" i="2" s="1"/>
  <c r="AJ278" i="2" a="1"/>
  <c r="AJ278" i="2" s="1"/>
  <c r="AK278" i="2" s="1"/>
  <c r="AJ277" i="2" a="1"/>
  <c r="AJ277" i="2" s="1"/>
  <c r="AK277" i="2" s="1"/>
  <c r="AJ276" i="2" a="1"/>
  <c r="AJ276" i="2" s="1"/>
  <c r="AK276" i="2" s="1"/>
  <c r="AJ275" i="2" a="1"/>
  <c r="AJ275" i="2" s="1"/>
  <c r="AK275" i="2" s="1"/>
  <c r="AJ274" i="2" a="1"/>
  <c r="AJ274" i="2" s="1"/>
  <c r="AK274" i="2" s="1"/>
  <c r="AJ273" i="2" a="1"/>
  <c r="AJ273" i="2" s="1"/>
  <c r="AK273" i="2" s="1"/>
  <c r="AJ272" i="2" a="1"/>
  <c r="AJ272" i="2" s="1"/>
  <c r="AK272" i="2" s="1"/>
  <c r="AJ271" i="2" a="1"/>
  <c r="AJ271" i="2" s="1"/>
  <c r="AK271" i="2" s="1"/>
  <c r="AJ270" i="2" a="1"/>
  <c r="AJ270" i="2" s="1"/>
  <c r="AK270" i="2" s="1"/>
  <c r="AJ269" i="2" a="1"/>
  <c r="AJ269" i="2" s="1"/>
  <c r="AK269" i="2" s="1"/>
  <c r="AJ268" i="2" a="1"/>
  <c r="AJ268" i="2" s="1"/>
  <c r="AK268" i="2" s="1"/>
  <c r="AJ267" i="2" a="1"/>
  <c r="AJ267" i="2" s="1"/>
  <c r="AK267" i="2" s="1"/>
  <c r="AJ266" i="2" a="1"/>
  <c r="AJ266" i="2" s="1"/>
  <c r="AK266" i="2" s="1"/>
  <c r="AJ265" i="2" a="1"/>
  <c r="AJ265" i="2" s="1"/>
  <c r="AK265" i="2" s="1"/>
  <c r="AJ264" i="2" a="1"/>
  <c r="AJ264" i="2" s="1"/>
  <c r="AK264" i="2" s="1"/>
  <c r="AJ263" i="2" a="1"/>
  <c r="AJ263" i="2" s="1"/>
  <c r="AK263" i="2" s="1"/>
  <c r="AJ262" i="2" a="1"/>
  <c r="AJ262" i="2" s="1"/>
  <c r="AK262" i="2" s="1"/>
  <c r="AJ261" i="2" a="1"/>
  <c r="AJ261" i="2" s="1"/>
  <c r="AK261" i="2" s="1"/>
  <c r="AJ260" i="2" a="1"/>
  <c r="AJ260" i="2" s="1"/>
  <c r="AK260" i="2" s="1"/>
  <c r="AJ259" i="2" a="1"/>
  <c r="AJ259" i="2" s="1"/>
  <c r="AK259" i="2" s="1"/>
  <c r="AJ258" i="2" a="1"/>
  <c r="AJ258" i="2" s="1"/>
  <c r="AK258" i="2" s="1"/>
  <c r="AJ257" i="2" a="1"/>
  <c r="AJ257" i="2" s="1"/>
  <c r="AK257" i="2" s="1"/>
  <c r="AJ256" i="2" a="1"/>
  <c r="AJ256" i="2" s="1"/>
  <c r="AK256" i="2" s="1"/>
  <c r="AJ255" i="2" a="1"/>
  <c r="AJ255" i="2" s="1"/>
  <c r="AK255" i="2" s="1"/>
  <c r="AJ254" i="2" a="1"/>
  <c r="AJ254" i="2" s="1"/>
  <c r="AK254" i="2" s="1"/>
  <c r="AJ253" i="2" a="1"/>
  <c r="AJ253" i="2" s="1"/>
  <c r="AK253" i="2" s="1"/>
  <c r="AJ252" i="2" a="1"/>
  <c r="AJ252" i="2" s="1"/>
  <c r="AK252" i="2" s="1"/>
  <c r="AJ251" i="2" a="1"/>
  <c r="AJ251" i="2" s="1"/>
  <c r="AK251" i="2" s="1"/>
  <c r="AJ250" i="2" a="1"/>
  <c r="AJ250" i="2" s="1"/>
  <c r="AK250" i="2" s="1"/>
  <c r="AJ249" i="2" a="1"/>
  <c r="AJ249" i="2" s="1"/>
  <c r="AK249" i="2" s="1"/>
  <c r="AJ248" i="2" a="1"/>
  <c r="AJ248" i="2" s="1"/>
  <c r="AK248" i="2" s="1"/>
  <c r="AJ247" i="2" a="1"/>
  <c r="AJ247" i="2" s="1"/>
  <c r="AK247" i="2" s="1"/>
  <c r="AJ246" i="2" a="1"/>
  <c r="AJ246" i="2" s="1"/>
  <c r="AK246" i="2" s="1"/>
  <c r="AJ245" i="2" a="1"/>
  <c r="AJ245" i="2" s="1"/>
  <c r="AK245" i="2" s="1"/>
  <c r="AJ244" i="2" a="1"/>
  <c r="AJ244" i="2" s="1"/>
  <c r="AK244" i="2" s="1"/>
  <c r="AJ243" i="2" a="1"/>
  <c r="AJ243" i="2" s="1"/>
  <c r="AK243" i="2" s="1"/>
  <c r="AJ242" i="2" a="1"/>
  <c r="AJ242" i="2" s="1"/>
  <c r="AK242" i="2" s="1"/>
  <c r="AJ241" i="2" a="1"/>
  <c r="AJ241" i="2" s="1"/>
  <c r="AK241" i="2" s="1"/>
  <c r="AJ240" i="2" a="1"/>
  <c r="AJ240" i="2" s="1"/>
  <c r="AK240" i="2" s="1"/>
  <c r="AJ239" i="2" a="1"/>
  <c r="AJ239" i="2" s="1"/>
  <c r="AK239" i="2" s="1"/>
  <c r="AJ238" i="2" a="1"/>
  <c r="AJ238" i="2" s="1"/>
  <c r="AK238" i="2" s="1"/>
  <c r="AJ237" i="2" a="1"/>
  <c r="AJ237" i="2" s="1"/>
  <c r="AK237" i="2" s="1"/>
  <c r="AJ236" i="2" a="1"/>
  <c r="AJ236" i="2" s="1"/>
  <c r="AK236" i="2" s="1"/>
  <c r="AJ235" i="2" a="1"/>
  <c r="AJ235" i="2" s="1"/>
  <c r="AK235" i="2" s="1"/>
  <c r="AJ234" i="2" a="1"/>
  <c r="AJ234" i="2" s="1"/>
  <c r="AK234" i="2" s="1"/>
  <c r="AJ233" i="2" a="1"/>
  <c r="AJ233" i="2" s="1"/>
  <c r="AK233" i="2" s="1"/>
  <c r="AJ232" i="2" a="1"/>
  <c r="AJ232" i="2" s="1"/>
  <c r="AK232" i="2" s="1"/>
  <c r="AJ231" i="2" a="1"/>
  <c r="AJ231" i="2" s="1"/>
  <c r="AK231" i="2" s="1"/>
  <c r="AJ230" i="2" a="1"/>
  <c r="AJ230" i="2" s="1"/>
  <c r="AK230" i="2" s="1"/>
  <c r="AJ229" i="2" a="1"/>
  <c r="AJ229" i="2" s="1"/>
  <c r="AK229" i="2" s="1"/>
  <c r="AJ228" i="2" a="1"/>
  <c r="AJ228" i="2" s="1"/>
  <c r="AK228" i="2" s="1"/>
  <c r="AJ227" i="2" a="1"/>
  <c r="AJ227" i="2" s="1"/>
  <c r="AK227" i="2" s="1"/>
  <c r="AJ226" i="2" a="1"/>
  <c r="AJ226" i="2" s="1"/>
  <c r="AK226" i="2" s="1"/>
  <c r="AJ225" i="2" a="1"/>
  <c r="AJ225" i="2" s="1"/>
  <c r="AK225" i="2" s="1"/>
  <c r="AJ224" i="2" a="1"/>
  <c r="AJ224" i="2" s="1"/>
  <c r="AK224" i="2" s="1"/>
  <c r="AJ223" i="2" a="1"/>
  <c r="AJ223" i="2" s="1"/>
  <c r="AK223" i="2" s="1"/>
  <c r="AJ222" i="2" a="1"/>
  <c r="AJ222" i="2" s="1"/>
  <c r="AK222" i="2" s="1"/>
  <c r="AJ221" i="2" a="1"/>
  <c r="AJ221" i="2" s="1"/>
  <c r="AK221" i="2" s="1"/>
  <c r="AJ220" i="2" a="1"/>
  <c r="AJ220" i="2" s="1"/>
  <c r="AK220" i="2" s="1"/>
  <c r="AJ219" i="2" a="1"/>
  <c r="AJ219" i="2" s="1"/>
  <c r="AK219" i="2" s="1"/>
  <c r="AJ218" i="2" a="1"/>
  <c r="AJ218" i="2" s="1"/>
  <c r="AK218" i="2" s="1"/>
  <c r="AJ217" i="2" a="1"/>
  <c r="AJ217" i="2" s="1"/>
  <c r="AK217" i="2" s="1"/>
  <c r="AJ216" i="2" a="1"/>
  <c r="AJ216" i="2" s="1"/>
  <c r="AK216" i="2" s="1"/>
  <c r="AJ215" i="2" a="1"/>
  <c r="AJ215" i="2" s="1"/>
  <c r="AK215" i="2" s="1"/>
  <c r="AJ214" i="2" a="1"/>
  <c r="AJ214" i="2" s="1"/>
  <c r="AK214" i="2" s="1"/>
  <c r="AJ213" i="2" a="1"/>
  <c r="AJ213" i="2" s="1"/>
  <c r="AK213" i="2" s="1"/>
  <c r="AJ212" i="2" a="1"/>
  <c r="AJ212" i="2" s="1"/>
  <c r="AK212" i="2" s="1"/>
  <c r="AJ211" i="2" a="1"/>
  <c r="AJ211" i="2" s="1"/>
  <c r="AK211" i="2" s="1"/>
  <c r="AJ210" i="2" a="1"/>
  <c r="AJ210" i="2" s="1"/>
  <c r="AK210" i="2" s="1"/>
  <c r="AJ209" i="2" a="1"/>
  <c r="AJ209" i="2" s="1"/>
  <c r="AK209" i="2" s="1"/>
  <c r="AJ208" i="2" a="1"/>
  <c r="AJ208" i="2" s="1"/>
  <c r="AK208" i="2" s="1"/>
  <c r="AJ207" i="2" a="1"/>
  <c r="AJ207" i="2" s="1"/>
  <c r="AK207" i="2" s="1"/>
  <c r="AJ206" i="2" a="1"/>
  <c r="AJ206" i="2" s="1"/>
  <c r="AK206" i="2" s="1"/>
  <c r="AJ205" i="2" a="1"/>
  <c r="AJ205" i="2" s="1"/>
  <c r="AK205" i="2" s="1"/>
  <c r="AJ204" i="2" a="1"/>
  <c r="AJ204" i="2" s="1"/>
  <c r="AK204" i="2" s="1"/>
  <c r="AJ203" i="2" a="1"/>
  <c r="AJ203" i="2" s="1"/>
  <c r="AK203" i="2" s="1"/>
  <c r="AJ202" i="2" a="1"/>
  <c r="AJ202" i="2" s="1"/>
  <c r="AK202" i="2" s="1"/>
  <c r="AJ201" i="2" a="1"/>
  <c r="AJ201" i="2" s="1"/>
  <c r="AK201" i="2" s="1"/>
  <c r="AJ200" i="2" a="1"/>
  <c r="AJ200" i="2" s="1"/>
  <c r="AK200" i="2" s="1"/>
  <c r="AJ199" i="2" a="1"/>
  <c r="AJ199" i="2" s="1"/>
  <c r="AK199" i="2" s="1"/>
  <c r="AJ198" i="2" a="1"/>
  <c r="AJ198" i="2" s="1"/>
  <c r="AK198" i="2" s="1"/>
  <c r="AJ197" i="2" a="1"/>
  <c r="AJ197" i="2" s="1"/>
  <c r="AK197" i="2" s="1"/>
  <c r="AJ196" i="2" a="1"/>
  <c r="AJ196" i="2" s="1"/>
  <c r="AK196" i="2" s="1"/>
  <c r="AJ195" i="2" a="1"/>
  <c r="AJ195" i="2" s="1"/>
  <c r="AK195" i="2" s="1"/>
  <c r="AJ194" i="2" a="1"/>
  <c r="AJ194" i="2" s="1"/>
  <c r="AK194" i="2" s="1"/>
  <c r="AJ193" i="2" a="1"/>
  <c r="AJ193" i="2" s="1"/>
  <c r="AK193" i="2" s="1"/>
  <c r="AJ192" i="2" a="1"/>
  <c r="AJ192" i="2" s="1"/>
  <c r="AK192" i="2" s="1"/>
  <c r="AJ191" i="2" a="1"/>
  <c r="AJ191" i="2" s="1"/>
  <c r="AK191" i="2" s="1"/>
  <c r="AJ190" i="2" a="1"/>
  <c r="AJ190" i="2" s="1"/>
  <c r="AK190" i="2" s="1"/>
  <c r="AJ189" i="2" a="1"/>
  <c r="AJ189" i="2" s="1"/>
  <c r="AK189" i="2" s="1"/>
  <c r="AJ188" i="2" a="1"/>
  <c r="AJ188" i="2" s="1"/>
  <c r="AK188" i="2" s="1"/>
  <c r="AJ187" i="2" a="1"/>
  <c r="AJ187" i="2" s="1"/>
  <c r="AK187" i="2" s="1"/>
  <c r="AJ186" i="2" a="1"/>
  <c r="AJ186" i="2" s="1"/>
  <c r="AK186" i="2" s="1"/>
  <c r="AJ185" i="2" a="1"/>
  <c r="AJ185" i="2" s="1"/>
  <c r="AK185" i="2" s="1"/>
  <c r="AJ184" i="2" a="1"/>
  <c r="AJ184" i="2" s="1"/>
  <c r="AK184" i="2" s="1"/>
  <c r="AJ183" i="2" a="1"/>
  <c r="AJ183" i="2" s="1"/>
  <c r="AK183" i="2" s="1"/>
  <c r="AJ182" i="2" a="1"/>
  <c r="AJ182" i="2" s="1"/>
  <c r="AK182" i="2" s="1"/>
  <c r="AJ181" i="2" a="1"/>
  <c r="AJ181" i="2" s="1"/>
  <c r="AK181" i="2" s="1"/>
  <c r="AJ180" i="2" a="1"/>
  <c r="AJ180" i="2" s="1"/>
  <c r="AK180" i="2" s="1"/>
  <c r="AJ179" i="2" a="1"/>
  <c r="AJ179" i="2" s="1"/>
  <c r="AK179" i="2" s="1"/>
  <c r="AJ178" i="2" a="1"/>
  <c r="AJ178" i="2" s="1"/>
  <c r="AK178" i="2" s="1"/>
  <c r="AJ177" i="2" a="1"/>
  <c r="AJ177" i="2" s="1"/>
  <c r="AK177" i="2" s="1"/>
  <c r="AJ176" i="2" a="1"/>
  <c r="AJ176" i="2" s="1"/>
  <c r="AK176" i="2" s="1"/>
  <c r="AJ175" i="2" a="1"/>
  <c r="AJ175" i="2" s="1"/>
  <c r="AK175" i="2" s="1"/>
  <c r="AJ174" i="2" a="1"/>
  <c r="AJ174" i="2" s="1"/>
  <c r="AK174" i="2" s="1"/>
  <c r="AJ173" i="2" a="1"/>
  <c r="AJ173" i="2" s="1"/>
  <c r="AK173" i="2" s="1"/>
  <c r="AJ172" i="2" a="1"/>
  <c r="AJ172" i="2" s="1"/>
  <c r="AK172" i="2" s="1"/>
  <c r="AJ171" i="2" a="1"/>
  <c r="AJ171" i="2" s="1"/>
  <c r="AK171" i="2" s="1"/>
  <c r="AJ170" i="2" a="1"/>
  <c r="AJ170" i="2" s="1"/>
  <c r="AK170" i="2" s="1"/>
  <c r="AJ169" i="2" a="1"/>
  <c r="AJ169" i="2" s="1"/>
  <c r="AK169" i="2" s="1"/>
  <c r="AJ168" i="2" a="1"/>
  <c r="AJ168" i="2" s="1"/>
  <c r="AK168" i="2" s="1"/>
  <c r="AJ167" i="2" a="1"/>
  <c r="AJ167" i="2" s="1"/>
  <c r="AK167" i="2" s="1"/>
  <c r="AJ166" i="2" a="1"/>
  <c r="AJ166" i="2" s="1"/>
  <c r="AK166" i="2" s="1"/>
  <c r="AJ165" i="2" a="1"/>
  <c r="AJ165" i="2" s="1"/>
  <c r="AK165" i="2" s="1"/>
  <c r="AJ164" i="2" a="1"/>
  <c r="AJ164" i="2" s="1"/>
  <c r="AK164" i="2" s="1"/>
  <c r="AJ163" i="2" a="1"/>
  <c r="AJ163" i="2" s="1"/>
  <c r="AK163" i="2" s="1"/>
  <c r="AJ162" i="2" a="1"/>
  <c r="AJ162" i="2" s="1"/>
  <c r="AK162" i="2" s="1"/>
  <c r="AJ161" i="2" a="1"/>
  <c r="AJ161" i="2" s="1"/>
  <c r="AK161" i="2" s="1"/>
  <c r="AJ160" i="2" a="1"/>
  <c r="AJ160" i="2" s="1"/>
  <c r="AK160" i="2" s="1"/>
  <c r="AJ159" i="2" a="1"/>
  <c r="AJ159" i="2" s="1"/>
  <c r="AK159" i="2" s="1"/>
  <c r="AJ158" i="2" a="1"/>
  <c r="AJ158" i="2" s="1"/>
  <c r="AK158" i="2" s="1"/>
  <c r="AJ157" i="2" a="1"/>
  <c r="AJ157" i="2" s="1"/>
  <c r="AK157" i="2" s="1"/>
  <c r="AJ156" i="2" a="1"/>
  <c r="AJ156" i="2" s="1"/>
  <c r="AK156" i="2" s="1"/>
  <c r="AJ155" i="2" a="1"/>
  <c r="AJ155" i="2" s="1"/>
  <c r="AK155" i="2" s="1"/>
  <c r="AJ154" i="2" a="1"/>
  <c r="AJ154" i="2" s="1"/>
  <c r="AK154" i="2" s="1"/>
  <c r="AJ153" i="2" a="1"/>
  <c r="AJ153" i="2" s="1"/>
  <c r="AK153" i="2" s="1"/>
  <c r="AJ152" i="2" a="1"/>
  <c r="AJ152" i="2" s="1"/>
  <c r="AK152" i="2" s="1"/>
  <c r="AJ151" i="2" a="1"/>
  <c r="AJ151" i="2" s="1"/>
  <c r="AK151" i="2" s="1"/>
  <c r="AJ150" i="2" a="1"/>
  <c r="AJ150" i="2" s="1"/>
  <c r="AK150" i="2" s="1"/>
  <c r="AJ149" i="2" a="1"/>
  <c r="AJ149" i="2" s="1"/>
  <c r="AK149" i="2" s="1"/>
  <c r="AJ148" i="2" a="1"/>
  <c r="AJ148" i="2" s="1"/>
  <c r="AK148" i="2" s="1"/>
  <c r="AJ147" i="2" a="1"/>
  <c r="AJ147" i="2" s="1"/>
  <c r="AK147" i="2" s="1"/>
  <c r="AJ146" i="2" a="1"/>
  <c r="AJ146" i="2" s="1"/>
  <c r="AK146" i="2" s="1"/>
  <c r="AJ145" i="2" a="1"/>
  <c r="AJ145" i="2" s="1"/>
  <c r="AK145" i="2" s="1"/>
  <c r="AJ144" i="2" a="1"/>
  <c r="AJ144" i="2" s="1"/>
  <c r="AK144" i="2" s="1"/>
  <c r="AJ143" i="2" a="1"/>
  <c r="AJ143" i="2" s="1"/>
  <c r="AK143" i="2" s="1"/>
  <c r="AJ142" i="2" a="1"/>
  <c r="AJ142" i="2" s="1"/>
  <c r="AK142" i="2" s="1"/>
  <c r="AJ141" i="2" a="1"/>
  <c r="AJ141" i="2" s="1"/>
  <c r="AK141" i="2" s="1"/>
  <c r="AJ140" i="2" a="1"/>
  <c r="AJ140" i="2" s="1"/>
  <c r="AK140" i="2" s="1"/>
  <c r="AJ139" i="2" a="1"/>
  <c r="AJ139" i="2" s="1"/>
  <c r="AK139" i="2" s="1"/>
  <c r="AJ138" i="2" a="1"/>
  <c r="AJ138" i="2" s="1"/>
  <c r="AK138" i="2" s="1"/>
  <c r="AJ137" i="2" a="1"/>
  <c r="AJ137" i="2" s="1"/>
  <c r="AK137" i="2" s="1"/>
  <c r="AJ136" i="2" a="1"/>
  <c r="AJ136" i="2" s="1"/>
  <c r="AK136" i="2" s="1"/>
  <c r="AJ131" i="2" a="1"/>
  <c r="AJ131" i="2" s="1"/>
  <c r="AK131" i="2" s="1"/>
  <c r="AJ130" i="2" a="1"/>
  <c r="AJ130" i="2" s="1"/>
  <c r="AK130" i="2" s="1"/>
  <c r="AJ129" i="2" a="1"/>
  <c r="AJ129" i="2" s="1"/>
  <c r="AK129" i="2" s="1"/>
  <c r="AJ128" i="2" a="1"/>
  <c r="AJ128" i="2" s="1"/>
  <c r="AK128" i="2" s="1"/>
  <c r="AJ127" i="2" a="1"/>
  <c r="AJ127" i="2" s="1"/>
  <c r="AK127" i="2" s="1"/>
  <c r="AJ126" i="2" a="1"/>
  <c r="AJ126" i="2" s="1"/>
  <c r="AK126" i="2" s="1"/>
  <c r="AJ125" i="2" a="1"/>
  <c r="AJ125" i="2" s="1"/>
  <c r="AK125" i="2" s="1"/>
  <c r="AJ124" i="2" a="1"/>
  <c r="AJ124" i="2" s="1"/>
  <c r="AK124" i="2" s="1"/>
  <c r="AJ123" i="2" a="1"/>
  <c r="AJ123" i="2" s="1"/>
  <c r="AK123" i="2" s="1"/>
  <c r="AJ122" i="2" a="1"/>
  <c r="AJ122" i="2" s="1"/>
  <c r="AK122" i="2" s="1"/>
  <c r="AJ121" i="2" a="1"/>
  <c r="AJ121" i="2" s="1"/>
  <c r="AK121" i="2" s="1"/>
  <c r="AJ120" i="2" a="1"/>
  <c r="AJ120" i="2" s="1"/>
  <c r="AK120" i="2" s="1"/>
  <c r="AJ119" i="2" a="1"/>
  <c r="AJ119" i="2" s="1"/>
  <c r="AK119" i="2" s="1"/>
  <c r="AJ118" i="2" a="1"/>
  <c r="AJ118" i="2" s="1"/>
  <c r="AK118" i="2" s="1"/>
  <c r="AJ117" i="2" a="1"/>
  <c r="AJ117" i="2" s="1"/>
  <c r="AK117" i="2" s="1"/>
  <c r="AJ116" i="2" a="1"/>
  <c r="AJ116" i="2" s="1"/>
  <c r="AK116" i="2" s="1"/>
  <c r="AJ115" i="2" a="1"/>
  <c r="AJ115" i="2" s="1"/>
  <c r="AK115" i="2" s="1"/>
  <c r="AJ114" i="2" a="1"/>
  <c r="AJ114" i="2" s="1"/>
  <c r="AK114" i="2" s="1"/>
  <c r="AJ113" i="2" a="1"/>
  <c r="AJ113" i="2" s="1"/>
  <c r="AK113" i="2" s="1"/>
  <c r="AJ112" i="2" a="1"/>
  <c r="AJ112" i="2" s="1"/>
  <c r="AK112" i="2" s="1"/>
  <c r="AJ111" i="2" a="1"/>
  <c r="AJ111" i="2" s="1"/>
  <c r="AK111" i="2" s="1"/>
  <c r="AJ110" i="2" a="1"/>
  <c r="AJ110" i="2" s="1"/>
  <c r="AK110" i="2" s="1"/>
  <c r="AJ109" i="2" a="1"/>
  <c r="AJ109" i="2" s="1"/>
  <c r="AK109" i="2" s="1"/>
  <c r="AJ108" i="2" a="1"/>
  <c r="AJ108" i="2" s="1"/>
  <c r="AK108" i="2" s="1"/>
  <c r="AJ107" i="2" a="1"/>
  <c r="AJ107" i="2" s="1"/>
  <c r="AK107" i="2" s="1"/>
  <c r="AK59" i="2"/>
  <c r="AK51" i="2"/>
  <c r="AJ498" i="2"/>
  <c r="AK498" i="2" s="1"/>
  <c r="R8" i="2" a="1"/>
  <c r="R8" i="2" s="1"/>
  <c r="T8" i="2" s="1"/>
  <c r="R6" i="2" a="1"/>
  <c r="R6" i="2" s="1"/>
  <c r="T6" i="2" s="1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G107" i="2" a="1"/>
  <c r="AG107" i="2" s="1"/>
  <c r="AH107" i="2" s="1"/>
  <c r="AG108" i="2" a="1"/>
  <c r="AG108" i="2" s="1"/>
  <c r="AH108" i="2" s="1"/>
  <c r="AG109" i="2" a="1"/>
  <c r="AG109" i="2" s="1"/>
  <c r="AH109" i="2" s="1"/>
  <c r="AG110" i="2" a="1"/>
  <c r="AG110" i="2" s="1"/>
  <c r="AH110" i="2" s="1"/>
  <c r="AG111" i="2" a="1"/>
  <c r="AG111" i="2" s="1"/>
  <c r="AH111" i="2" s="1"/>
  <c r="AG112" i="2" a="1"/>
  <c r="AG112" i="2" s="1"/>
  <c r="AH112" i="2" s="1"/>
  <c r="AG113" i="2" a="1"/>
  <c r="AG113" i="2" s="1"/>
  <c r="AH113" i="2" s="1"/>
  <c r="AG114" i="2" a="1"/>
  <c r="AG114" i="2" s="1"/>
  <c r="AH114" i="2" s="1"/>
  <c r="AG115" i="2" a="1"/>
  <c r="AG115" i="2" s="1"/>
  <c r="AH115" i="2" s="1"/>
  <c r="AG116" i="2" a="1"/>
  <c r="AG116" i="2" s="1"/>
  <c r="AH116" i="2" s="1"/>
  <c r="AG117" i="2" a="1"/>
  <c r="AG117" i="2" s="1"/>
  <c r="AH117" i="2" s="1"/>
  <c r="AG118" i="2" a="1"/>
  <c r="AG118" i="2" s="1"/>
  <c r="AH118" i="2" s="1"/>
  <c r="AG119" i="2" a="1"/>
  <c r="AG119" i="2" s="1"/>
  <c r="AH119" i="2" s="1"/>
  <c r="AG120" i="2" a="1"/>
  <c r="AG120" i="2" s="1"/>
  <c r="AH120" i="2" s="1"/>
  <c r="AD107" i="2" a="1"/>
  <c r="AD107" i="2" s="1"/>
  <c r="AE107" i="2" s="1"/>
  <c r="AD108" i="2" a="1"/>
  <c r="AD108" i="2" s="1"/>
  <c r="AE108" i="2" s="1"/>
  <c r="AD109" i="2" a="1"/>
  <c r="AD109" i="2" s="1"/>
  <c r="AE109" i="2" s="1"/>
  <c r="AD110" i="2" a="1"/>
  <c r="AD110" i="2" s="1"/>
  <c r="AE110" i="2" s="1"/>
  <c r="AD111" i="2" a="1"/>
  <c r="AD111" i="2" s="1"/>
  <c r="AE111" i="2" s="1"/>
  <c r="AD112" i="2" a="1"/>
  <c r="AD112" i="2" s="1"/>
  <c r="AE112" i="2" s="1"/>
  <c r="AD113" i="2" a="1"/>
  <c r="AD113" i="2" s="1"/>
  <c r="AE113" i="2" s="1"/>
  <c r="AD114" i="2" a="1"/>
  <c r="AD114" i="2" s="1"/>
  <c r="AE114" i="2" s="1"/>
  <c r="AD115" i="2" a="1"/>
  <c r="AD115" i="2" s="1"/>
  <c r="AE115" i="2" s="1"/>
  <c r="AD116" i="2" a="1"/>
  <c r="AD116" i="2" s="1"/>
  <c r="AE116" i="2" s="1"/>
  <c r="AD117" i="2" a="1"/>
  <c r="AD117" i="2" s="1"/>
  <c r="AE117" i="2" s="1"/>
  <c r="AD118" i="2" a="1"/>
  <c r="AD118" i="2" s="1"/>
  <c r="AE118" i="2" s="1"/>
  <c r="AD119" i="2" a="1"/>
  <c r="AD119" i="2" s="1"/>
  <c r="AE119" i="2" s="1"/>
  <c r="AD120" i="2" a="1"/>
  <c r="AD120" i="2" s="1"/>
  <c r="AE120" i="2" s="1"/>
  <c r="AA107" i="2" a="1"/>
  <c r="AA107" i="2" s="1"/>
  <c r="AB107" i="2" s="1"/>
  <c r="AA108" i="2" a="1"/>
  <c r="AA108" i="2" s="1"/>
  <c r="AB108" i="2" s="1"/>
  <c r="AA109" i="2" a="1"/>
  <c r="AA109" i="2" s="1"/>
  <c r="AB109" i="2" s="1"/>
  <c r="AA110" i="2" a="1"/>
  <c r="AA110" i="2" s="1"/>
  <c r="AB110" i="2" s="1"/>
  <c r="AA111" i="2" a="1"/>
  <c r="AA111" i="2" s="1"/>
  <c r="AB111" i="2" s="1"/>
  <c r="AA112" i="2" a="1"/>
  <c r="AA112" i="2" s="1"/>
  <c r="AB112" i="2" s="1"/>
  <c r="AA113" i="2" a="1"/>
  <c r="AA113" i="2" s="1"/>
  <c r="AB113" i="2" s="1"/>
  <c r="AA114" i="2" a="1"/>
  <c r="AA114" i="2" s="1"/>
  <c r="AB114" i="2" s="1"/>
  <c r="AA115" i="2" a="1"/>
  <c r="AA115" i="2" s="1"/>
  <c r="AB115" i="2" s="1"/>
  <c r="AA116" i="2" a="1"/>
  <c r="AA116" i="2" s="1"/>
  <c r="AB116" i="2" s="1"/>
  <c r="AA117" i="2" a="1"/>
  <c r="AA117" i="2" s="1"/>
  <c r="AB117" i="2" s="1"/>
  <c r="AA118" i="2" a="1"/>
  <c r="AA118" i="2" s="1"/>
  <c r="AB118" i="2" s="1"/>
  <c r="AA119" i="2" a="1"/>
  <c r="AA119" i="2" s="1"/>
  <c r="AB119" i="2" s="1"/>
  <c r="AA120" i="2" a="1"/>
  <c r="AA120" i="2" s="1"/>
  <c r="AB120" i="2" s="1"/>
  <c r="X107" i="2" a="1"/>
  <c r="X107" i="2" s="1"/>
  <c r="Y107" i="2" s="1"/>
  <c r="X108" i="2" a="1"/>
  <c r="X108" i="2" s="1"/>
  <c r="Y108" i="2" s="1"/>
  <c r="X109" i="2" a="1"/>
  <c r="X109" i="2" s="1"/>
  <c r="Y109" i="2" s="1"/>
  <c r="X110" i="2" a="1"/>
  <c r="X110" i="2" s="1"/>
  <c r="Y110" i="2" s="1"/>
  <c r="X111" i="2" a="1"/>
  <c r="X111" i="2" s="1"/>
  <c r="Y111" i="2" s="1"/>
  <c r="X112" i="2" a="1"/>
  <c r="X112" i="2" s="1"/>
  <c r="Y112" i="2" s="1"/>
  <c r="X113" i="2" a="1"/>
  <c r="X113" i="2" s="1"/>
  <c r="Y113" i="2" s="1"/>
  <c r="X114" i="2" a="1"/>
  <c r="X114" i="2" s="1"/>
  <c r="Y114" i="2" s="1"/>
  <c r="X115" i="2" a="1"/>
  <c r="X115" i="2" s="1"/>
  <c r="Y115" i="2" s="1"/>
  <c r="X116" i="2" a="1"/>
  <c r="X116" i="2" s="1"/>
  <c r="Y116" i="2" s="1"/>
  <c r="X117" i="2" a="1"/>
  <c r="X117" i="2" s="1"/>
  <c r="Y117" i="2" s="1"/>
  <c r="X118" i="2" a="1"/>
  <c r="X118" i="2" s="1"/>
  <c r="Y118" i="2" s="1"/>
  <c r="X119" i="2" a="1"/>
  <c r="X119" i="2" s="1"/>
  <c r="Y119" i="2" s="1"/>
  <c r="X120" i="2" a="1"/>
  <c r="X120" i="2" s="1"/>
  <c r="Y120" i="2" s="1"/>
  <c r="AO122" i="2"/>
  <c r="AO123" i="2"/>
  <c r="AO124" i="2"/>
  <c r="AO125" i="2"/>
  <c r="AO126" i="2"/>
  <c r="AO127" i="2"/>
  <c r="AO128" i="2"/>
  <c r="AO129" i="2"/>
  <c r="AO130" i="2"/>
  <c r="AO131" i="2"/>
  <c r="AG121" i="2" a="1"/>
  <c r="AG121" i="2" s="1"/>
  <c r="AH121" i="2" s="1"/>
  <c r="AG122" i="2" a="1"/>
  <c r="AG122" i="2" s="1"/>
  <c r="AH122" i="2" s="1"/>
  <c r="AG123" i="2" a="1"/>
  <c r="AG123" i="2" s="1"/>
  <c r="AH123" i="2" s="1"/>
  <c r="AG124" i="2" a="1"/>
  <c r="AG124" i="2" s="1"/>
  <c r="AH124" i="2" s="1"/>
  <c r="AG125" i="2" a="1"/>
  <c r="AG125" i="2" s="1"/>
  <c r="AH125" i="2" s="1"/>
  <c r="AG126" i="2" a="1"/>
  <c r="AG126" i="2" s="1"/>
  <c r="AH126" i="2" s="1"/>
  <c r="AG127" i="2" a="1"/>
  <c r="AG127" i="2" s="1"/>
  <c r="AH127" i="2" s="1"/>
  <c r="AG128" i="2" a="1"/>
  <c r="AG128" i="2" s="1"/>
  <c r="AH128" i="2" s="1"/>
  <c r="AG129" i="2" a="1"/>
  <c r="AG129" i="2" s="1"/>
  <c r="AH129" i="2" s="1"/>
  <c r="AG130" i="2" a="1"/>
  <c r="AG130" i="2" s="1"/>
  <c r="AH130" i="2" s="1"/>
  <c r="AG131" i="2" a="1"/>
  <c r="AG131" i="2" s="1"/>
  <c r="AH131" i="2" s="1"/>
  <c r="AD121" i="2" a="1"/>
  <c r="AD121" i="2" s="1"/>
  <c r="AE121" i="2" s="1"/>
  <c r="AD122" i="2" a="1"/>
  <c r="AD122" i="2" s="1"/>
  <c r="AE122" i="2" s="1"/>
  <c r="AD123" i="2" a="1"/>
  <c r="AD123" i="2" s="1"/>
  <c r="AE123" i="2" s="1"/>
  <c r="AD124" i="2" a="1"/>
  <c r="AD124" i="2" s="1"/>
  <c r="AE124" i="2" s="1"/>
  <c r="AD125" i="2" a="1"/>
  <c r="AD125" i="2" s="1"/>
  <c r="AE125" i="2" s="1"/>
  <c r="AD126" i="2" a="1"/>
  <c r="AD126" i="2" s="1"/>
  <c r="AE126" i="2" s="1"/>
  <c r="AD127" i="2" a="1"/>
  <c r="AD127" i="2" s="1"/>
  <c r="AE127" i="2" s="1"/>
  <c r="AD128" i="2" a="1"/>
  <c r="AD128" i="2" s="1"/>
  <c r="AE128" i="2" s="1"/>
  <c r="AD129" i="2" a="1"/>
  <c r="AD129" i="2" s="1"/>
  <c r="AE129" i="2" s="1"/>
  <c r="AD130" i="2" a="1"/>
  <c r="AD130" i="2" s="1"/>
  <c r="AE130" i="2" s="1"/>
  <c r="AD131" i="2" a="1"/>
  <c r="AD131" i="2" s="1"/>
  <c r="AE131" i="2" s="1"/>
  <c r="AA121" i="2" a="1"/>
  <c r="AA121" i="2" s="1"/>
  <c r="AB121" i="2" s="1"/>
  <c r="AA122" i="2" a="1"/>
  <c r="AA122" i="2" s="1"/>
  <c r="AB122" i="2" s="1"/>
  <c r="AA123" i="2" a="1"/>
  <c r="AA123" i="2" s="1"/>
  <c r="AB123" i="2" s="1"/>
  <c r="AA124" i="2" a="1"/>
  <c r="AA124" i="2" s="1"/>
  <c r="AB124" i="2" s="1"/>
  <c r="AA125" i="2" a="1"/>
  <c r="AA125" i="2" s="1"/>
  <c r="AB125" i="2" s="1"/>
  <c r="AA126" i="2" a="1"/>
  <c r="AA126" i="2" s="1"/>
  <c r="AB126" i="2" s="1"/>
  <c r="AA127" i="2" a="1"/>
  <c r="AA127" i="2" s="1"/>
  <c r="AB127" i="2" s="1"/>
  <c r="AA128" i="2" a="1"/>
  <c r="AA128" i="2" s="1"/>
  <c r="AB128" i="2" s="1"/>
  <c r="AA129" i="2" a="1"/>
  <c r="AA129" i="2" s="1"/>
  <c r="AB129" i="2" s="1"/>
  <c r="AA130" i="2" a="1"/>
  <c r="AA130" i="2" s="1"/>
  <c r="AB130" i="2" s="1"/>
  <c r="AA131" i="2" a="1"/>
  <c r="AA131" i="2" s="1"/>
  <c r="AB131" i="2" s="1"/>
  <c r="X121" i="2" a="1"/>
  <c r="X121" i="2" s="1"/>
  <c r="Y121" i="2" s="1"/>
  <c r="X122" i="2" a="1"/>
  <c r="X122" i="2" s="1"/>
  <c r="Y122" i="2" s="1"/>
  <c r="X123" i="2" a="1"/>
  <c r="X123" i="2" s="1"/>
  <c r="Y123" i="2" s="1"/>
  <c r="X124" i="2" a="1"/>
  <c r="X124" i="2" s="1"/>
  <c r="Y124" i="2" s="1"/>
  <c r="X125" i="2" a="1"/>
  <c r="X125" i="2" s="1"/>
  <c r="Y125" i="2" s="1"/>
  <c r="X126" i="2" a="1"/>
  <c r="X126" i="2" s="1"/>
  <c r="Y126" i="2" s="1"/>
  <c r="X127" i="2" a="1"/>
  <c r="X127" i="2" s="1"/>
  <c r="Y127" i="2" s="1"/>
  <c r="X128" i="2" a="1"/>
  <c r="X128" i="2" s="1"/>
  <c r="Y128" i="2" s="1"/>
  <c r="X129" i="2" a="1"/>
  <c r="X129" i="2" s="1"/>
  <c r="Y129" i="2" s="1"/>
  <c r="X130" i="2" a="1"/>
  <c r="X130" i="2" s="1"/>
  <c r="Y130" i="2" s="1"/>
  <c r="X131" i="2" a="1"/>
  <c r="X131" i="2" s="1"/>
  <c r="Y131" i="2" s="1"/>
  <c r="AO136" i="2"/>
  <c r="AO137" i="2"/>
  <c r="AG136" i="2" a="1"/>
  <c r="AG136" i="2" s="1"/>
  <c r="AH136" i="2" s="1"/>
  <c r="AG137" i="2" a="1"/>
  <c r="AG137" i="2" s="1"/>
  <c r="AH137" i="2" s="1"/>
  <c r="AD136" i="2" a="1"/>
  <c r="AD136" i="2" s="1"/>
  <c r="AE136" i="2" s="1"/>
  <c r="AD137" i="2" a="1"/>
  <c r="AD137" i="2" s="1"/>
  <c r="AE137" i="2" s="1"/>
  <c r="AA136" i="2" a="1"/>
  <c r="AA136" i="2" s="1"/>
  <c r="AB136" i="2" s="1"/>
  <c r="AA137" i="2" a="1"/>
  <c r="AA137" i="2" s="1"/>
  <c r="AB137" i="2" s="1"/>
  <c r="X136" i="2" a="1"/>
  <c r="X136" i="2" s="1"/>
  <c r="Y136" i="2" s="1"/>
  <c r="X137" i="2" a="1"/>
  <c r="X137" i="2" s="1"/>
  <c r="Y137" i="2" s="1"/>
  <c r="AO138" i="2"/>
  <c r="AO139" i="2"/>
  <c r="AO140" i="2"/>
  <c r="AO141" i="2"/>
  <c r="AO142" i="2"/>
  <c r="AO143" i="2"/>
  <c r="AO144" i="2"/>
  <c r="AO145" i="2"/>
  <c r="AO146" i="2"/>
  <c r="AO147" i="2"/>
  <c r="AG138" i="2" a="1"/>
  <c r="AG138" i="2" s="1"/>
  <c r="AH138" i="2" s="1"/>
  <c r="AG139" i="2" a="1"/>
  <c r="AG139" i="2" s="1"/>
  <c r="AH139" i="2" s="1"/>
  <c r="AG140" i="2" a="1"/>
  <c r="AG140" i="2" s="1"/>
  <c r="AH140" i="2" s="1"/>
  <c r="AG141" i="2" a="1"/>
  <c r="AG141" i="2" s="1"/>
  <c r="AH141" i="2" s="1"/>
  <c r="AG142" i="2" a="1"/>
  <c r="AG142" i="2" s="1"/>
  <c r="AH142" i="2" s="1"/>
  <c r="AG143" i="2" a="1"/>
  <c r="AG143" i="2" s="1"/>
  <c r="AH143" i="2" s="1"/>
  <c r="AG144" i="2" a="1"/>
  <c r="AG144" i="2" s="1"/>
  <c r="AH144" i="2" s="1"/>
  <c r="AG145" i="2" a="1"/>
  <c r="AG145" i="2" s="1"/>
  <c r="AH145" i="2" s="1"/>
  <c r="AG146" i="2" a="1"/>
  <c r="AG146" i="2" s="1"/>
  <c r="AH146" i="2" s="1"/>
  <c r="AG147" i="2" a="1"/>
  <c r="AG147" i="2" s="1"/>
  <c r="AH147" i="2" s="1"/>
  <c r="AD138" i="2" a="1"/>
  <c r="AD138" i="2" s="1"/>
  <c r="AE138" i="2" s="1"/>
  <c r="AD139" i="2" a="1"/>
  <c r="AD139" i="2" s="1"/>
  <c r="AE139" i="2" s="1"/>
  <c r="AD140" i="2" a="1"/>
  <c r="AD140" i="2" s="1"/>
  <c r="AE140" i="2" s="1"/>
  <c r="AD141" i="2" a="1"/>
  <c r="AD141" i="2" s="1"/>
  <c r="AE141" i="2" s="1"/>
  <c r="AD142" i="2" a="1"/>
  <c r="AD142" i="2" s="1"/>
  <c r="AE142" i="2" s="1"/>
  <c r="AD143" i="2" a="1"/>
  <c r="AD143" i="2" s="1"/>
  <c r="AE143" i="2" s="1"/>
  <c r="AD144" i="2" a="1"/>
  <c r="AD144" i="2" s="1"/>
  <c r="AE144" i="2" s="1"/>
  <c r="AD145" i="2" a="1"/>
  <c r="AD145" i="2" s="1"/>
  <c r="AE145" i="2" s="1"/>
  <c r="AD146" i="2" a="1"/>
  <c r="AD146" i="2" s="1"/>
  <c r="AE146" i="2" s="1"/>
  <c r="AD147" i="2" a="1"/>
  <c r="AD147" i="2" s="1"/>
  <c r="AE147" i="2" s="1"/>
  <c r="AA138" i="2" a="1"/>
  <c r="AA138" i="2" s="1"/>
  <c r="AB138" i="2" s="1"/>
  <c r="AA139" i="2" a="1"/>
  <c r="AA139" i="2" s="1"/>
  <c r="AB139" i="2" s="1"/>
  <c r="AA140" i="2" a="1"/>
  <c r="AA140" i="2" s="1"/>
  <c r="AB140" i="2" s="1"/>
  <c r="AA141" i="2" a="1"/>
  <c r="AA141" i="2" s="1"/>
  <c r="AB141" i="2" s="1"/>
  <c r="AA142" i="2" a="1"/>
  <c r="AA142" i="2" s="1"/>
  <c r="AB142" i="2" s="1"/>
  <c r="AA143" i="2" a="1"/>
  <c r="AA143" i="2" s="1"/>
  <c r="AB143" i="2" s="1"/>
  <c r="AA144" i="2" a="1"/>
  <c r="AA144" i="2" s="1"/>
  <c r="AB144" i="2" s="1"/>
  <c r="AA145" i="2" a="1"/>
  <c r="AA145" i="2" s="1"/>
  <c r="AB145" i="2" s="1"/>
  <c r="AA146" i="2" a="1"/>
  <c r="AA146" i="2" s="1"/>
  <c r="AB146" i="2" s="1"/>
  <c r="AA147" i="2" a="1"/>
  <c r="AA147" i="2" s="1"/>
  <c r="AB147" i="2" s="1"/>
  <c r="X138" i="2" a="1"/>
  <c r="X138" i="2" s="1"/>
  <c r="Y138" i="2" s="1"/>
  <c r="X139" i="2" a="1"/>
  <c r="X139" i="2" s="1"/>
  <c r="Y139" i="2" s="1"/>
  <c r="X140" i="2" a="1"/>
  <c r="X140" i="2" s="1"/>
  <c r="Y140" i="2" s="1"/>
  <c r="X141" i="2" a="1"/>
  <c r="X141" i="2" s="1"/>
  <c r="Y141" i="2" s="1"/>
  <c r="X142" i="2" a="1"/>
  <c r="X142" i="2" s="1"/>
  <c r="Y142" i="2" s="1"/>
  <c r="X143" i="2" a="1"/>
  <c r="X143" i="2" s="1"/>
  <c r="Y143" i="2" s="1"/>
  <c r="X144" i="2" a="1"/>
  <c r="X144" i="2" s="1"/>
  <c r="Y144" i="2" s="1"/>
  <c r="X145" i="2" a="1"/>
  <c r="X145" i="2" s="1"/>
  <c r="Y145" i="2" s="1"/>
  <c r="X146" i="2" a="1"/>
  <c r="X146" i="2" s="1"/>
  <c r="Y146" i="2" s="1"/>
  <c r="X147" i="2" a="1"/>
  <c r="X147" i="2" s="1"/>
  <c r="Y147" i="2" s="1"/>
  <c r="AO148" i="2"/>
  <c r="AO149" i="2"/>
  <c r="AO150" i="2"/>
  <c r="AO151" i="2"/>
  <c r="AO152" i="2"/>
  <c r="AO153" i="2"/>
  <c r="AO154" i="2"/>
  <c r="AG148" i="2" a="1"/>
  <c r="AG148" i="2" s="1"/>
  <c r="AH148" i="2" s="1"/>
  <c r="AG149" i="2" a="1"/>
  <c r="AG149" i="2" s="1"/>
  <c r="AH149" i="2" s="1"/>
  <c r="AG150" i="2" a="1"/>
  <c r="AG150" i="2" s="1"/>
  <c r="AH150" i="2" s="1"/>
  <c r="AG151" i="2" a="1"/>
  <c r="AG151" i="2" s="1"/>
  <c r="AH151" i="2" s="1"/>
  <c r="AG152" i="2" a="1"/>
  <c r="AG152" i="2" s="1"/>
  <c r="AH152" i="2" s="1"/>
  <c r="AG153" i="2" a="1"/>
  <c r="AG153" i="2" s="1"/>
  <c r="AH153" i="2" s="1"/>
  <c r="AD148" i="2" a="1"/>
  <c r="AD148" i="2" s="1"/>
  <c r="AE148" i="2" s="1"/>
  <c r="AD149" i="2" a="1"/>
  <c r="AD149" i="2" s="1"/>
  <c r="AE149" i="2" s="1"/>
  <c r="AD150" i="2" a="1"/>
  <c r="AD150" i="2" s="1"/>
  <c r="AE150" i="2" s="1"/>
  <c r="AD151" i="2" a="1"/>
  <c r="AD151" i="2" s="1"/>
  <c r="AE151" i="2" s="1"/>
  <c r="AD152" i="2" a="1"/>
  <c r="AD152" i="2" s="1"/>
  <c r="AE152" i="2" s="1"/>
  <c r="AD153" i="2" a="1"/>
  <c r="AD153" i="2" s="1"/>
  <c r="AE153" i="2" s="1"/>
  <c r="AA148" i="2" a="1"/>
  <c r="AA148" i="2" s="1"/>
  <c r="AB148" i="2" s="1"/>
  <c r="AA149" i="2" a="1"/>
  <c r="AA149" i="2" s="1"/>
  <c r="AB149" i="2" s="1"/>
  <c r="AA150" i="2" a="1"/>
  <c r="AA150" i="2" s="1"/>
  <c r="AB150" i="2" s="1"/>
  <c r="AA151" i="2" a="1"/>
  <c r="AA151" i="2" s="1"/>
  <c r="AB151" i="2" s="1"/>
  <c r="AA152" i="2" a="1"/>
  <c r="AA152" i="2" s="1"/>
  <c r="AB152" i="2" s="1"/>
  <c r="AA153" i="2" a="1"/>
  <c r="AA153" i="2" s="1"/>
  <c r="AB153" i="2" s="1"/>
  <c r="X148" i="2" a="1"/>
  <c r="X148" i="2" s="1"/>
  <c r="Y148" i="2" s="1"/>
  <c r="X149" i="2" a="1"/>
  <c r="X149" i="2" s="1"/>
  <c r="Y149" i="2" s="1"/>
  <c r="X150" i="2" a="1"/>
  <c r="X150" i="2" s="1"/>
  <c r="Y150" i="2" s="1"/>
  <c r="X151" i="2" a="1"/>
  <c r="X151" i="2" s="1"/>
  <c r="Y151" i="2" s="1"/>
  <c r="X152" i="2" a="1"/>
  <c r="X152" i="2" s="1"/>
  <c r="Y152" i="2" s="1"/>
  <c r="X153" i="2" a="1"/>
  <c r="X153" i="2" s="1"/>
  <c r="Y153" i="2" s="1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G154" i="2" a="1"/>
  <c r="AG154" i="2" s="1"/>
  <c r="AH154" i="2" s="1"/>
  <c r="AG155" i="2" a="1"/>
  <c r="AG155" i="2" s="1"/>
  <c r="AH155" i="2" s="1"/>
  <c r="AG156" i="2" a="1"/>
  <c r="AG156" i="2" s="1"/>
  <c r="AH156" i="2" s="1"/>
  <c r="AG157" i="2" a="1"/>
  <c r="AG157" i="2" s="1"/>
  <c r="AH157" i="2" s="1"/>
  <c r="AG158" i="2" a="1"/>
  <c r="AG158" i="2" s="1"/>
  <c r="AH158" i="2" s="1"/>
  <c r="AG159" i="2" a="1"/>
  <c r="AG159" i="2" s="1"/>
  <c r="AH159" i="2" s="1"/>
  <c r="AG160" i="2" a="1"/>
  <c r="AG160" i="2" s="1"/>
  <c r="AH160" i="2" s="1"/>
  <c r="AG161" i="2" a="1"/>
  <c r="AG161" i="2" s="1"/>
  <c r="AH161" i="2" s="1"/>
  <c r="AG162" i="2" a="1"/>
  <c r="AG162" i="2" s="1"/>
  <c r="AH162" i="2" s="1"/>
  <c r="AG163" i="2" a="1"/>
  <c r="AG163" i="2" s="1"/>
  <c r="AH163" i="2" s="1"/>
  <c r="AG164" i="2" a="1"/>
  <c r="AG164" i="2" s="1"/>
  <c r="AH164" i="2" s="1"/>
  <c r="AG165" i="2" a="1"/>
  <c r="AG165" i="2" s="1"/>
  <c r="AH165" i="2" s="1"/>
  <c r="AD154" i="2" a="1"/>
  <c r="AD154" i="2" s="1"/>
  <c r="AE154" i="2" s="1"/>
  <c r="AD155" i="2" a="1"/>
  <c r="AD155" i="2" s="1"/>
  <c r="AE155" i="2" s="1"/>
  <c r="AD156" i="2" a="1"/>
  <c r="AD156" i="2" s="1"/>
  <c r="AE156" i="2" s="1"/>
  <c r="AD157" i="2" a="1"/>
  <c r="AD157" i="2" s="1"/>
  <c r="AE157" i="2" s="1"/>
  <c r="AD158" i="2" a="1"/>
  <c r="AD158" i="2" s="1"/>
  <c r="AE158" i="2" s="1"/>
  <c r="AD159" i="2" a="1"/>
  <c r="AD159" i="2" s="1"/>
  <c r="AE159" i="2" s="1"/>
  <c r="AD160" i="2" a="1"/>
  <c r="AD160" i="2" s="1"/>
  <c r="AE160" i="2" s="1"/>
  <c r="AD161" i="2" a="1"/>
  <c r="AD161" i="2" s="1"/>
  <c r="AE161" i="2" s="1"/>
  <c r="AD162" i="2" a="1"/>
  <c r="AD162" i="2" s="1"/>
  <c r="AE162" i="2" s="1"/>
  <c r="AD163" i="2" a="1"/>
  <c r="AD163" i="2" s="1"/>
  <c r="AE163" i="2" s="1"/>
  <c r="AD164" i="2" a="1"/>
  <c r="AD164" i="2" s="1"/>
  <c r="AE164" i="2" s="1"/>
  <c r="AD165" i="2" a="1"/>
  <c r="AD165" i="2" s="1"/>
  <c r="AE165" i="2" s="1"/>
  <c r="AA155" i="2" a="1"/>
  <c r="AA155" i="2" s="1"/>
  <c r="AB155" i="2" s="1"/>
  <c r="AA154" i="2" a="1"/>
  <c r="AA154" i="2" s="1"/>
  <c r="AB154" i="2" s="1"/>
  <c r="AA156" i="2" a="1"/>
  <c r="AA156" i="2" s="1"/>
  <c r="AB156" i="2" s="1"/>
  <c r="AA157" i="2" a="1"/>
  <c r="AA157" i="2" s="1"/>
  <c r="AB157" i="2" s="1"/>
  <c r="AA158" i="2" a="1"/>
  <c r="AA158" i="2" s="1"/>
  <c r="AB158" i="2" s="1"/>
  <c r="AA159" i="2" a="1"/>
  <c r="AA159" i="2" s="1"/>
  <c r="AB159" i="2" s="1"/>
  <c r="AA160" i="2" a="1"/>
  <c r="AA160" i="2" s="1"/>
  <c r="AB160" i="2" s="1"/>
  <c r="AA161" i="2" a="1"/>
  <c r="AA161" i="2" s="1"/>
  <c r="AB161" i="2" s="1"/>
  <c r="AA162" i="2" a="1"/>
  <c r="AA162" i="2" s="1"/>
  <c r="AB162" i="2" s="1"/>
  <c r="AA163" i="2" a="1"/>
  <c r="AA163" i="2" s="1"/>
  <c r="AB163" i="2" s="1"/>
  <c r="AA164" i="2" a="1"/>
  <c r="AA164" i="2" s="1"/>
  <c r="AB164" i="2" s="1"/>
  <c r="AA165" i="2" a="1"/>
  <c r="AA165" i="2" s="1"/>
  <c r="AB165" i="2" s="1"/>
  <c r="X154" i="2" a="1"/>
  <c r="X154" i="2" s="1"/>
  <c r="Y154" i="2" s="1"/>
  <c r="X155" i="2" a="1"/>
  <c r="X155" i="2" s="1"/>
  <c r="Y155" i="2" s="1"/>
  <c r="X156" i="2" a="1"/>
  <c r="X156" i="2" s="1"/>
  <c r="Y156" i="2" s="1"/>
  <c r="X157" i="2" a="1"/>
  <c r="X157" i="2" s="1"/>
  <c r="Y157" i="2" s="1"/>
  <c r="X158" i="2" a="1"/>
  <c r="X158" i="2" s="1"/>
  <c r="Y158" i="2" s="1"/>
  <c r="X159" i="2" a="1"/>
  <c r="X159" i="2" s="1"/>
  <c r="Y159" i="2" s="1"/>
  <c r="X160" i="2" a="1"/>
  <c r="X160" i="2" s="1"/>
  <c r="Y160" i="2" s="1"/>
  <c r="X161" i="2" a="1"/>
  <c r="X161" i="2" s="1"/>
  <c r="Y161" i="2" s="1"/>
  <c r="X162" i="2" a="1"/>
  <c r="X162" i="2" s="1"/>
  <c r="Y162" i="2" s="1"/>
  <c r="X163" i="2" a="1"/>
  <c r="X163" i="2" s="1"/>
  <c r="Y163" i="2" s="1"/>
  <c r="X164" i="2" a="1"/>
  <c r="X164" i="2" s="1"/>
  <c r="Y164" i="2" s="1"/>
  <c r="X165" i="2" a="1"/>
  <c r="X165" i="2" s="1"/>
  <c r="Y165" i="2" s="1"/>
  <c r="AO167" i="2"/>
  <c r="AO168" i="2"/>
  <c r="AO169" i="2"/>
  <c r="AO170" i="2"/>
  <c r="AO171" i="2"/>
  <c r="AG166" i="2" a="1"/>
  <c r="AG166" i="2" s="1"/>
  <c r="AH166" i="2" s="1"/>
  <c r="AG167" i="2" a="1"/>
  <c r="AG167" i="2" s="1"/>
  <c r="AH167" i="2" s="1"/>
  <c r="AG168" i="2" a="1"/>
  <c r="AG168" i="2" s="1"/>
  <c r="AH168" i="2" s="1"/>
  <c r="AG169" i="2" a="1"/>
  <c r="AG169" i="2" s="1"/>
  <c r="AH169" i="2" s="1"/>
  <c r="AG170" i="2" a="1"/>
  <c r="AG170" i="2" s="1"/>
  <c r="AH170" i="2" s="1"/>
  <c r="AD166" i="2" a="1"/>
  <c r="AD166" i="2" s="1"/>
  <c r="AE166" i="2" s="1"/>
  <c r="AD167" i="2" a="1"/>
  <c r="AD167" i="2" s="1"/>
  <c r="AE167" i="2" s="1"/>
  <c r="AD168" i="2" a="1"/>
  <c r="AD168" i="2" s="1"/>
  <c r="AE168" i="2" s="1"/>
  <c r="AD169" i="2" a="1"/>
  <c r="AD169" i="2" s="1"/>
  <c r="AE169" i="2" s="1"/>
  <c r="AD170" i="2" a="1"/>
  <c r="AD170" i="2" s="1"/>
  <c r="AE170" i="2" s="1"/>
  <c r="AA166" i="2" a="1"/>
  <c r="AA166" i="2" s="1"/>
  <c r="AB166" i="2" s="1"/>
  <c r="AA167" i="2" a="1"/>
  <c r="AA167" i="2" s="1"/>
  <c r="AB167" i="2" s="1"/>
  <c r="AA168" i="2" a="1"/>
  <c r="AA168" i="2" s="1"/>
  <c r="AB168" i="2" s="1"/>
  <c r="AA169" i="2" a="1"/>
  <c r="AA169" i="2" s="1"/>
  <c r="AB169" i="2" s="1"/>
  <c r="AA170" i="2" a="1"/>
  <c r="AA170" i="2" s="1"/>
  <c r="AB170" i="2" s="1"/>
  <c r="X166" i="2" a="1"/>
  <c r="X166" i="2" s="1"/>
  <c r="Y166" i="2" s="1"/>
  <c r="X167" i="2" a="1"/>
  <c r="X167" i="2" s="1"/>
  <c r="Y167" i="2" s="1"/>
  <c r="X168" i="2" a="1"/>
  <c r="X168" i="2" s="1"/>
  <c r="Y168" i="2" s="1"/>
  <c r="X169" i="2" a="1"/>
  <c r="X169" i="2" s="1"/>
  <c r="Y169" i="2" s="1"/>
  <c r="X170" i="2" a="1"/>
  <c r="X170" i="2" s="1"/>
  <c r="Y170" i="2" s="1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G171" i="2" a="1"/>
  <c r="AG171" i="2" s="1"/>
  <c r="AH171" i="2" s="1"/>
  <c r="AG172" i="2" a="1"/>
  <c r="AG172" i="2" s="1"/>
  <c r="AH172" i="2" s="1"/>
  <c r="AG173" i="2" a="1"/>
  <c r="AG173" i="2" s="1"/>
  <c r="AH173" i="2" s="1"/>
  <c r="AG174" i="2" a="1"/>
  <c r="AG174" i="2" s="1"/>
  <c r="AH174" i="2" s="1"/>
  <c r="AG175" i="2" a="1"/>
  <c r="AG175" i="2" s="1"/>
  <c r="AH175" i="2" s="1"/>
  <c r="AG176" i="2" a="1"/>
  <c r="AG176" i="2" s="1"/>
  <c r="AH176" i="2" s="1"/>
  <c r="AG177" i="2" a="1"/>
  <c r="AG177" i="2" s="1"/>
  <c r="AH177" i="2" s="1"/>
  <c r="AG178" i="2" a="1"/>
  <c r="AG178" i="2" s="1"/>
  <c r="AH178" i="2" s="1"/>
  <c r="AG179" i="2" a="1"/>
  <c r="AG179" i="2" s="1"/>
  <c r="AH179" i="2" s="1"/>
  <c r="AG180" i="2" a="1"/>
  <c r="AG180" i="2" s="1"/>
  <c r="AH180" i="2" s="1"/>
  <c r="AG181" i="2" a="1"/>
  <c r="AG181" i="2" s="1"/>
  <c r="AH181" i="2" s="1"/>
  <c r="AG182" i="2" a="1"/>
  <c r="AG182" i="2" s="1"/>
  <c r="AH182" i="2" s="1"/>
  <c r="AG183" i="2" a="1"/>
  <c r="AG183" i="2" s="1"/>
  <c r="AH183" i="2" s="1"/>
  <c r="AG184" i="2" a="1"/>
  <c r="AG184" i="2" s="1"/>
  <c r="AH184" i="2" s="1"/>
  <c r="AG185" i="2" a="1"/>
  <c r="AG185" i="2" s="1"/>
  <c r="AH185" i="2" s="1"/>
  <c r="AG186" i="2" a="1"/>
  <c r="AG186" i="2" s="1"/>
  <c r="AH186" i="2" s="1"/>
  <c r="AD171" i="2" a="1"/>
  <c r="AD171" i="2" s="1"/>
  <c r="AE171" i="2" s="1"/>
  <c r="AD172" i="2" a="1"/>
  <c r="AD172" i="2" s="1"/>
  <c r="AE172" i="2" s="1"/>
  <c r="AD173" i="2" a="1"/>
  <c r="AD173" i="2" s="1"/>
  <c r="AE173" i="2" s="1"/>
  <c r="AD174" i="2" a="1"/>
  <c r="AD174" i="2" s="1"/>
  <c r="AE174" i="2" s="1"/>
  <c r="AD175" i="2" a="1"/>
  <c r="AD175" i="2" s="1"/>
  <c r="AE175" i="2" s="1"/>
  <c r="AD176" i="2" a="1"/>
  <c r="AD176" i="2" s="1"/>
  <c r="AE176" i="2" s="1"/>
  <c r="AD177" i="2" a="1"/>
  <c r="AD177" i="2" s="1"/>
  <c r="AE177" i="2" s="1"/>
  <c r="AD178" i="2" a="1"/>
  <c r="AD178" i="2" s="1"/>
  <c r="AE178" i="2" s="1"/>
  <c r="AD179" i="2" a="1"/>
  <c r="AD179" i="2" s="1"/>
  <c r="AE179" i="2" s="1"/>
  <c r="AD180" i="2" a="1"/>
  <c r="AD180" i="2" s="1"/>
  <c r="AE180" i="2" s="1"/>
  <c r="AD181" i="2" a="1"/>
  <c r="AD181" i="2" s="1"/>
  <c r="AE181" i="2" s="1"/>
  <c r="AD182" i="2" a="1"/>
  <c r="AD182" i="2" s="1"/>
  <c r="AE182" i="2" s="1"/>
  <c r="AD183" i="2" a="1"/>
  <c r="AD183" i="2" s="1"/>
  <c r="AE183" i="2" s="1"/>
  <c r="AD184" i="2" a="1"/>
  <c r="AD184" i="2" s="1"/>
  <c r="AE184" i="2" s="1"/>
  <c r="AD185" i="2" a="1"/>
  <c r="AD185" i="2" s="1"/>
  <c r="AE185" i="2" s="1"/>
  <c r="AD186" i="2" a="1"/>
  <c r="AD186" i="2" s="1"/>
  <c r="AE186" i="2" s="1"/>
  <c r="AA171" i="2" a="1"/>
  <c r="AA171" i="2" s="1"/>
  <c r="AB171" i="2" s="1"/>
  <c r="AA172" i="2" a="1"/>
  <c r="AA172" i="2" s="1"/>
  <c r="AB172" i="2" s="1"/>
  <c r="AA173" i="2" a="1"/>
  <c r="AA173" i="2" s="1"/>
  <c r="AB173" i="2" s="1"/>
  <c r="AA174" i="2" a="1"/>
  <c r="AA174" i="2" s="1"/>
  <c r="AB174" i="2" s="1"/>
  <c r="AA175" i="2" a="1"/>
  <c r="AA175" i="2" s="1"/>
  <c r="AB175" i="2" s="1"/>
  <c r="AA176" i="2" a="1"/>
  <c r="AA176" i="2" s="1"/>
  <c r="AB176" i="2" s="1"/>
  <c r="AA177" i="2" a="1"/>
  <c r="AA177" i="2" s="1"/>
  <c r="AB177" i="2" s="1"/>
  <c r="AA178" i="2" a="1"/>
  <c r="AA178" i="2" s="1"/>
  <c r="AB178" i="2" s="1"/>
  <c r="AA179" i="2" a="1"/>
  <c r="AA179" i="2" s="1"/>
  <c r="AB179" i="2" s="1"/>
  <c r="AA180" i="2" a="1"/>
  <c r="AA180" i="2" s="1"/>
  <c r="AB180" i="2" s="1"/>
  <c r="AA181" i="2" a="1"/>
  <c r="AA181" i="2" s="1"/>
  <c r="AB181" i="2" s="1"/>
  <c r="AA182" i="2" a="1"/>
  <c r="AA182" i="2" s="1"/>
  <c r="AB182" i="2" s="1"/>
  <c r="AA183" i="2" a="1"/>
  <c r="AA183" i="2" s="1"/>
  <c r="AB183" i="2" s="1"/>
  <c r="AA184" i="2" a="1"/>
  <c r="AA184" i="2" s="1"/>
  <c r="AB184" i="2" s="1"/>
  <c r="AA185" i="2" a="1"/>
  <c r="AA185" i="2" s="1"/>
  <c r="AB185" i="2" s="1"/>
  <c r="AA186" i="2" a="1"/>
  <c r="AA186" i="2" s="1"/>
  <c r="AB186" i="2" s="1"/>
  <c r="X171" i="2" a="1"/>
  <c r="X171" i="2" s="1"/>
  <c r="Y171" i="2" s="1"/>
  <c r="X172" i="2" a="1"/>
  <c r="X172" i="2" s="1"/>
  <c r="Y172" i="2" s="1"/>
  <c r="X173" i="2" a="1"/>
  <c r="X173" i="2" s="1"/>
  <c r="Y173" i="2" s="1"/>
  <c r="X174" i="2" a="1"/>
  <c r="X174" i="2" s="1"/>
  <c r="Y174" i="2" s="1"/>
  <c r="X175" i="2" a="1"/>
  <c r="X175" i="2" s="1"/>
  <c r="Y175" i="2" s="1"/>
  <c r="X176" i="2" a="1"/>
  <c r="X176" i="2" s="1"/>
  <c r="Y176" i="2" s="1"/>
  <c r="X177" i="2" a="1"/>
  <c r="X177" i="2" s="1"/>
  <c r="Y177" i="2" s="1"/>
  <c r="X178" i="2" a="1"/>
  <c r="X178" i="2" s="1"/>
  <c r="Y178" i="2" s="1"/>
  <c r="X179" i="2" a="1"/>
  <c r="X179" i="2" s="1"/>
  <c r="Y179" i="2" s="1"/>
  <c r="X180" i="2" a="1"/>
  <c r="X180" i="2" s="1"/>
  <c r="Y180" i="2" s="1"/>
  <c r="X181" i="2" a="1"/>
  <c r="X181" i="2" s="1"/>
  <c r="Y181" i="2" s="1"/>
  <c r="X182" i="2" a="1"/>
  <c r="X182" i="2" s="1"/>
  <c r="Y182" i="2" s="1"/>
  <c r="X183" i="2" a="1"/>
  <c r="X183" i="2" s="1"/>
  <c r="Y183" i="2" s="1"/>
  <c r="X184" i="2" a="1"/>
  <c r="X184" i="2" s="1"/>
  <c r="Y184" i="2" s="1"/>
  <c r="X185" i="2" a="1"/>
  <c r="X185" i="2" s="1"/>
  <c r="Y185" i="2" s="1"/>
  <c r="X186" i="2" a="1"/>
  <c r="X186" i="2" s="1"/>
  <c r="Y186" i="2" s="1"/>
  <c r="AO242" i="2"/>
  <c r="AO240" i="2"/>
  <c r="AO239" i="2"/>
  <c r="AO236" i="2"/>
  <c r="AO243" i="2"/>
  <c r="AO188" i="2"/>
  <c r="AO189" i="2"/>
  <c r="AO190" i="2"/>
  <c r="AO191" i="2"/>
  <c r="AG187" i="2" a="1"/>
  <c r="AG187" i="2" s="1"/>
  <c r="AH187" i="2" s="1"/>
  <c r="AG188" i="2" a="1"/>
  <c r="AG188" i="2" s="1"/>
  <c r="AH188" i="2" s="1"/>
  <c r="AG189" i="2" a="1"/>
  <c r="AG189" i="2" s="1"/>
  <c r="AH189" i="2" s="1"/>
  <c r="AG190" i="2" a="1"/>
  <c r="AG190" i="2" s="1"/>
  <c r="AH190" i="2" s="1"/>
  <c r="AD187" i="2" a="1"/>
  <c r="AD187" i="2" s="1"/>
  <c r="AE187" i="2" s="1"/>
  <c r="AD188" i="2" a="1"/>
  <c r="AD188" i="2" s="1"/>
  <c r="AE188" i="2" s="1"/>
  <c r="AD189" i="2" a="1"/>
  <c r="AD189" i="2" s="1"/>
  <c r="AE189" i="2" s="1"/>
  <c r="AD190" i="2" a="1"/>
  <c r="AD190" i="2" s="1"/>
  <c r="AE190" i="2" s="1"/>
  <c r="AA187" i="2" a="1"/>
  <c r="AA187" i="2" s="1"/>
  <c r="AB187" i="2" s="1"/>
  <c r="AA188" i="2" a="1"/>
  <c r="AA188" i="2" s="1"/>
  <c r="AB188" i="2" s="1"/>
  <c r="AA189" i="2" a="1"/>
  <c r="AA189" i="2" s="1"/>
  <c r="AB189" i="2" s="1"/>
  <c r="AA190" i="2" a="1"/>
  <c r="AA190" i="2" s="1"/>
  <c r="AB190" i="2" s="1"/>
  <c r="X187" i="2" a="1"/>
  <c r="X187" i="2" s="1"/>
  <c r="Y187" i="2" s="1"/>
  <c r="X188" i="2" a="1"/>
  <c r="X188" i="2" s="1"/>
  <c r="Y188" i="2" s="1"/>
  <c r="X189" i="2" a="1"/>
  <c r="X189" i="2" s="1"/>
  <c r="Y189" i="2" s="1"/>
  <c r="X190" i="2" a="1"/>
  <c r="X190" i="2" s="1"/>
  <c r="Y190" i="2" s="1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G191" i="2" a="1"/>
  <c r="AG191" i="2" s="1"/>
  <c r="AH191" i="2" s="1"/>
  <c r="AG192" i="2" a="1"/>
  <c r="AG192" i="2" s="1"/>
  <c r="AH192" i="2" s="1"/>
  <c r="AG193" i="2" a="1"/>
  <c r="AG193" i="2" s="1"/>
  <c r="AH193" i="2" s="1"/>
  <c r="AG194" i="2" a="1"/>
  <c r="AG194" i="2" s="1"/>
  <c r="AH194" i="2" s="1"/>
  <c r="AG195" i="2" a="1"/>
  <c r="AG195" i="2" s="1"/>
  <c r="AH195" i="2" s="1"/>
  <c r="AG196" i="2" a="1"/>
  <c r="AG196" i="2" s="1"/>
  <c r="AH196" i="2" s="1"/>
  <c r="AG197" i="2" a="1"/>
  <c r="AG197" i="2" s="1"/>
  <c r="AH197" i="2" s="1"/>
  <c r="AG198" i="2" a="1"/>
  <c r="AG198" i="2" s="1"/>
  <c r="AH198" i="2" s="1"/>
  <c r="AG199" i="2" a="1"/>
  <c r="AG199" i="2" s="1"/>
  <c r="AH199" i="2" s="1"/>
  <c r="AG200" i="2" a="1"/>
  <c r="AG200" i="2" s="1"/>
  <c r="AH200" i="2" s="1"/>
  <c r="AG201" i="2" a="1"/>
  <c r="AG201" i="2" s="1"/>
  <c r="AH201" i="2" s="1"/>
  <c r="AG202" i="2" a="1"/>
  <c r="AG202" i="2" s="1"/>
  <c r="AH202" i="2" s="1"/>
  <c r="AG203" i="2" a="1"/>
  <c r="AG203" i="2" s="1"/>
  <c r="AH203" i="2" s="1"/>
  <c r="AG204" i="2" a="1"/>
  <c r="AG204" i="2" s="1"/>
  <c r="AH204" i="2" s="1"/>
  <c r="AG205" i="2" a="1"/>
  <c r="AG205" i="2" s="1"/>
  <c r="AH205" i="2" s="1"/>
  <c r="AG206" i="2" a="1"/>
  <c r="AG206" i="2" s="1"/>
  <c r="AH206" i="2" s="1"/>
  <c r="AD191" i="2" a="1"/>
  <c r="AD191" i="2" s="1"/>
  <c r="AE191" i="2" s="1"/>
  <c r="AD192" i="2" a="1"/>
  <c r="AD192" i="2" s="1"/>
  <c r="AE192" i="2" s="1"/>
  <c r="AD193" i="2" a="1"/>
  <c r="AD193" i="2" s="1"/>
  <c r="AE193" i="2" s="1"/>
  <c r="AD194" i="2" a="1"/>
  <c r="AD194" i="2" s="1"/>
  <c r="AE194" i="2" s="1"/>
  <c r="AD195" i="2" a="1"/>
  <c r="AD195" i="2" s="1"/>
  <c r="AE195" i="2" s="1"/>
  <c r="AD196" i="2" a="1"/>
  <c r="AD196" i="2" s="1"/>
  <c r="AE196" i="2" s="1"/>
  <c r="AD197" i="2" a="1"/>
  <c r="AD197" i="2" s="1"/>
  <c r="AE197" i="2" s="1"/>
  <c r="AD198" i="2" a="1"/>
  <c r="AD198" i="2" s="1"/>
  <c r="AE198" i="2" s="1"/>
  <c r="AD199" i="2" a="1"/>
  <c r="AD199" i="2" s="1"/>
  <c r="AE199" i="2" s="1"/>
  <c r="AD200" i="2" a="1"/>
  <c r="AD200" i="2" s="1"/>
  <c r="AE200" i="2" s="1"/>
  <c r="AD201" i="2" a="1"/>
  <c r="AD201" i="2" s="1"/>
  <c r="AE201" i="2" s="1"/>
  <c r="AD202" i="2" a="1"/>
  <c r="AD202" i="2" s="1"/>
  <c r="AE202" i="2" s="1"/>
  <c r="AD203" i="2" a="1"/>
  <c r="AD203" i="2" s="1"/>
  <c r="AE203" i="2" s="1"/>
  <c r="AD204" i="2" a="1"/>
  <c r="AD204" i="2" s="1"/>
  <c r="AE204" i="2" s="1"/>
  <c r="AD205" i="2" a="1"/>
  <c r="AD205" i="2" s="1"/>
  <c r="AE205" i="2" s="1"/>
  <c r="AD206" i="2" a="1"/>
  <c r="AD206" i="2" s="1"/>
  <c r="AE206" i="2" s="1"/>
  <c r="AA191" i="2" a="1"/>
  <c r="AA191" i="2" s="1"/>
  <c r="AB191" i="2" s="1"/>
  <c r="AA192" i="2" a="1"/>
  <c r="AA192" i="2" s="1"/>
  <c r="AB192" i="2" s="1"/>
  <c r="AA193" i="2" a="1"/>
  <c r="AA193" i="2" s="1"/>
  <c r="AB193" i="2" s="1"/>
  <c r="AA194" i="2" a="1"/>
  <c r="AA194" i="2" s="1"/>
  <c r="AB194" i="2" s="1"/>
  <c r="AA195" i="2" a="1"/>
  <c r="AA195" i="2" s="1"/>
  <c r="AB195" i="2" s="1"/>
  <c r="AA196" i="2" a="1"/>
  <c r="AA196" i="2" s="1"/>
  <c r="AB196" i="2" s="1"/>
  <c r="AA197" i="2" a="1"/>
  <c r="AA197" i="2" s="1"/>
  <c r="AB197" i="2" s="1"/>
  <c r="AA198" i="2" a="1"/>
  <c r="AA198" i="2" s="1"/>
  <c r="AB198" i="2" s="1"/>
  <c r="AA199" i="2" a="1"/>
  <c r="AA199" i="2" s="1"/>
  <c r="AB199" i="2" s="1"/>
  <c r="AA200" i="2" a="1"/>
  <c r="AA200" i="2" s="1"/>
  <c r="AB200" i="2" s="1"/>
  <c r="AA201" i="2" a="1"/>
  <c r="AA201" i="2" s="1"/>
  <c r="AB201" i="2" s="1"/>
  <c r="AA202" i="2" a="1"/>
  <c r="AA202" i="2" s="1"/>
  <c r="AB202" i="2" s="1"/>
  <c r="AA203" i="2" a="1"/>
  <c r="AA203" i="2" s="1"/>
  <c r="AB203" i="2" s="1"/>
  <c r="AA204" i="2" a="1"/>
  <c r="AA204" i="2" s="1"/>
  <c r="AB204" i="2" s="1"/>
  <c r="AA205" i="2" a="1"/>
  <c r="AA205" i="2" s="1"/>
  <c r="AB205" i="2" s="1"/>
  <c r="AA206" i="2" a="1"/>
  <c r="AA206" i="2" s="1"/>
  <c r="AB206" i="2" s="1"/>
  <c r="X191" i="2" a="1"/>
  <c r="X191" i="2" s="1"/>
  <c r="Y191" i="2" s="1"/>
  <c r="X192" i="2" a="1"/>
  <c r="X192" i="2" s="1"/>
  <c r="Y192" i="2" s="1"/>
  <c r="X193" i="2" a="1"/>
  <c r="X193" i="2" s="1"/>
  <c r="Y193" i="2" s="1"/>
  <c r="X194" i="2" a="1"/>
  <c r="X194" i="2" s="1"/>
  <c r="Y194" i="2" s="1"/>
  <c r="X195" i="2" a="1"/>
  <c r="X195" i="2" s="1"/>
  <c r="Y195" i="2" s="1"/>
  <c r="X196" i="2" a="1"/>
  <c r="X196" i="2" s="1"/>
  <c r="Y196" i="2" s="1"/>
  <c r="X197" i="2" a="1"/>
  <c r="X197" i="2" s="1"/>
  <c r="Y197" i="2" s="1"/>
  <c r="X198" i="2" a="1"/>
  <c r="X198" i="2" s="1"/>
  <c r="Y198" i="2" s="1"/>
  <c r="X199" i="2" a="1"/>
  <c r="X199" i="2" s="1"/>
  <c r="Y199" i="2" s="1"/>
  <c r="X200" i="2" a="1"/>
  <c r="X200" i="2" s="1"/>
  <c r="Y200" i="2" s="1"/>
  <c r="X201" i="2" a="1"/>
  <c r="X201" i="2" s="1"/>
  <c r="Y201" i="2" s="1"/>
  <c r="X202" i="2" a="1"/>
  <c r="X202" i="2" s="1"/>
  <c r="Y202" i="2" s="1"/>
  <c r="X203" i="2" a="1"/>
  <c r="X203" i="2" s="1"/>
  <c r="Y203" i="2" s="1"/>
  <c r="X204" i="2" a="1"/>
  <c r="X204" i="2" s="1"/>
  <c r="Y204" i="2" s="1"/>
  <c r="X205" i="2" a="1"/>
  <c r="X205" i="2" s="1"/>
  <c r="Y205" i="2" s="1"/>
  <c r="X206" i="2" a="1"/>
  <c r="X206" i="2" s="1"/>
  <c r="Y206" i="2" s="1"/>
  <c r="AG243" i="2" a="1"/>
  <c r="AG243" i="2" s="1"/>
  <c r="AH243" i="2" s="1"/>
  <c r="AD243" i="2" a="1"/>
  <c r="AD243" i="2" s="1"/>
  <c r="AE243" i="2" s="1"/>
  <c r="AA243" i="2" a="1"/>
  <c r="AA243" i="2" s="1"/>
  <c r="AB243" i="2" s="1"/>
  <c r="X243" i="2" a="1"/>
  <c r="X243" i="2" s="1"/>
  <c r="Y243" i="2" s="1"/>
  <c r="AG242" i="2" a="1"/>
  <c r="AG242" i="2" s="1"/>
  <c r="AH242" i="2" s="1"/>
  <c r="AD242" i="2" a="1"/>
  <c r="AD242" i="2" s="1"/>
  <c r="AE242" i="2" s="1"/>
  <c r="AA242" i="2" a="1"/>
  <c r="AA242" i="2" s="1"/>
  <c r="AB242" i="2" s="1"/>
  <c r="X242" i="2" a="1"/>
  <c r="X242" i="2" s="1"/>
  <c r="Y242" i="2" s="1"/>
  <c r="AG240" i="2" a="1"/>
  <c r="AG240" i="2" s="1"/>
  <c r="AH240" i="2" s="1"/>
  <c r="AD240" i="2" a="1"/>
  <c r="AD240" i="2" s="1"/>
  <c r="AE240" i="2" s="1"/>
  <c r="AA240" i="2" a="1"/>
  <c r="AA240" i="2" s="1"/>
  <c r="AB240" i="2" s="1"/>
  <c r="X240" i="2" a="1"/>
  <c r="X240" i="2" s="1"/>
  <c r="Y240" i="2" s="1"/>
  <c r="AG239" i="2" a="1"/>
  <c r="AG239" i="2" s="1"/>
  <c r="AH239" i="2" s="1"/>
  <c r="AD239" i="2" a="1"/>
  <c r="AD239" i="2" s="1"/>
  <c r="AE239" i="2" s="1"/>
  <c r="AA239" i="2" a="1"/>
  <c r="AA239" i="2" s="1"/>
  <c r="AB239" i="2" s="1"/>
  <c r="X239" i="2" a="1"/>
  <c r="X239" i="2" s="1"/>
  <c r="Y239" i="2" s="1"/>
  <c r="AO207" i="2"/>
  <c r="AO208" i="2"/>
  <c r="AO209" i="2"/>
  <c r="AO210" i="2"/>
  <c r="AO211" i="2"/>
  <c r="AO212" i="2"/>
  <c r="AO213" i="2"/>
  <c r="AO214" i="2"/>
  <c r="AO215" i="2"/>
  <c r="AG207" i="2" a="1"/>
  <c r="AG207" i="2" s="1"/>
  <c r="AH207" i="2" s="1"/>
  <c r="AG208" i="2" a="1"/>
  <c r="AG208" i="2" s="1"/>
  <c r="AH208" i="2" s="1"/>
  <c r="AG209" i="2" a="1"/>
  <c r="AG209" i="2" s="1"/>
  <c r="AH209" i="2" s="1"/>
  <c r="AG210" i="2" a="1"/>
  <c r="AG210" i="2" s="1"/>
  <c r="AH210" i="2" s="1"/>
  <c r="AG211" i="2" a="1"/>
  <c r="AG211" i="2" s="1"/>
  <c r="AH211" i="2" s="1"/>
  <c r="AG212" i="2" a="1"/>
  <c r="AG212" i="2" s="1"/>
  <c r="AH212" i="2" s="1"/>
  <c r="AG213" i="2" a="1"/>
  <c r="AG213" i="2" s="1"/>
  <c r="AH213" i="2" s="1"/>
  <c r="AG214" i="2" a="1"/>
  <c r="AG214" i="2" s="1"/>
  <c r="AH214" i="2" s="1"/>
  <c r="AD207" i="2" a="1"/>
  <c r="AD207" i="2" s="1"/>
  <c r="AE207" i="2" s="1"/>
  <c r="AD208" i="2" a="1"/>
  <c r="AD208" i="2" s="1"/>
  <c r="AE208" i="2" s="1"/>
  <c r="AD209" i="2" a="1"/>
  <c r="AD209" i="2" s="1"/>
  <c r="AE209" i="2" s="1"/>
  <c r="AD210" i="2" a="1"/>
  <c r="AD210" i="2" s="1"/>
  <c r="AE210" i="2" s="1"/>
  <c r="AD211" i="2" a="1"/>
  <c r="AD211" i="2" s="1"/>
  <c r="AE211" i="2" s="1"/>
  <c r="AD212" i="2" a="1"/>
  <c r="AD212" i="2" s="1"/>
  <c r="AE212" i="2" s="1"/>
  <c r="AD213" i="2" a="1"/>
  <c r="AD213" i="2" s="1"/>
  <c r="AE213" i="2" s="1"/>
  <c r="AD214" i="2" a="1"/>
  <c r="AD214" i="2" s="1"/>
  <c r="AE214" i="2" s="1"/>
  <c r="AD215" i="2" a="1"/>
  <c r="AD215" i="2" s="1"/>
  <c r="AE215" i="2" s="1"/>
  <c r="AA207" i="2" a="1"/>
  <c r="AA207" i="2" s="1"/>
  <c r="AB207" i="2" s="1"/>
  <c r="AA208" i="2" a="1"/>
  <c r="AA208" i="2" s="1"/>
  <c r="AB208" i="2" s="1"/>
  <c r="AA209" i="2" a="1"/>
  <c r="AA209" i="2" s="1"/>
  <c r="AB209" i="2" s="1"/>
  <c r="AA210" i="2" a="1"/>
  <c r="AA210" i="2" s="1"/>
  <c r="AB210" i="2" s="1"/>
  <c r="AA211" i="2" a="1"/>
  <c r="AA211" i="2" s="1"/>
  <c r="AB211" i="2" s="1"/>
  <c r="AA212" i="2" a="1"/>
  <c r="AA212" i="2" s="1"/>
  <c r="AB212" i="2" s="1"/>
  <c r="AA213" i="2" a="1"/>
  <c r="AA213" i="2" s="1"/>
  <c r="AB213" i="2" s="1"/>
  <c r="AA214" i="2" a="1"/>
  <c r="AA214" i="2" s="1"/>
  <c r="AB214" i="2" s="1"/>
  <c r="X207" i="2" a="1"/>
  <c r="X207" i="2" s="1"/>
  <c r="Y207" i="2" s="1"/>
  <c r="X208" i="2" a="1"/>
  <c r="X208" i="2" s="1"/>
  <c r="Y208" i="2" s="1"/>
  <c r="X209" i="2" a="1"/>
  <c r="X209" i="2" s="1"/>
  <c r="Y209" i="2" s="1"/>
  <c r="X210" i="2" a="1"/>
  <c r="X210" i="2" s="1"/>
  <c r="Y210" i="2" s="1"/>
  <c r="X211" i="2" a="1"/>
  <c r="X211" i="2" s="1"/>
  <c r="Y211" i="2" s="1"/>
  <c r="X212" i="2" a="1"/>
  <c r="X212" i="2" s="1"/>
  <c r="Y212" i="2" s="1"/>
  <c r="X213" i="2" a="1"/>
  <c r="X213" i="2" s="1"/>
  <c r="Y213" i="2" s="1"/>
  <c r="X214" i="2" a="1"/>
  <c r="X214" i="2" s="1"/>
  <c r="Y214" i="2" s="1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G215" i="2" a="1"/>
  <c r="AG215" i="2" s="1"/>
  <c r="AH215" i="2" s="1"/>
  <c r="AG216" i="2" a="1"/>
  <c r="AG216" i="2" s="1"/>
  <c r="AH216" i="2" s="1"/>
  <c r="AG217" i="2" a="1"/>
  <c r="AG217" i="2" s="1"/>
  <c r="AH217" i="2" s="1"/>
  <c r="AG218" i="2" a="1"/>
  <c r="AG218" i="2" s="1"/>
  <c r="AH218" i="2" s="1"/>
  <c r="AG219" i="2" a="1"/>
  <c r="AG219" i="2" s="1"/>
  <c r="AH219" i="2" s="1"/>
  <c r="AG220" i="2" a="1"/>
  <c r="AG220" i="2" s="1"/>
  <c r="AH220" i="2" s="1"/>
  <c r="AG221" i="2" a="1"/>
  <c r="AG221" i="2" s="1"/>
  <c r="AH221" i="2" s="1"/>
  <c r="AG222" i="2" a="1"/>
  <c r="AG222" i="2" s="1"/>
  <c r="AH222" i="2" s="1"/>
  <c r="AG223" i="2" a="1"/>
  <c r="AG223" i="2" s="1"/>
  <c r="AH223" i="2" s="1"/>
  <c r="AG224" i="2" a="1"/>
  <c r="AG224" i="2" s="1"/>
  <c r="AH224" i="2" s="1"/>
  <c r="AG225" i="2" a="1"/>
  <c r="AG225" i="2" s="1"/>
  <c r="AH225" i="2" s="1"/>
  <c r="AG226" i="2" a="1"/>
  <c r="AG226" i="2" s="1"/>
  <c r="AH226" i="2" s="1"/>
  <c r="AG227" i="2" a="1"/>
  <c r="AG227" i="2" s="1"/>
  <c r="AH227" i="2" s="1"/>
  <c r="AD216" i="2" a="1"/>
  <c r="AD216" i="2" s="1"/>
  <c r="AE216" i="2" s="1"/>
  <c r="AD217" i="2" a="1"/>
  <c r="AD217" i="2" s="1"/>
  <c r="AE217" i="2" s="1"/>
  <c r="AD218" i="2" a="1"/>
  <c r="AD218" i="2" s="1"/>
  <c r="AE218" i="2" s="1"/>
  <c r="AD219" i="2" a="1"/>
  <c r="AD219" i="2" s="1"/>
  <c r="AE219" i="2" s="1"/>
  <c r="AD220" i="2" a="1"/>
  <c r="AD220" i="2" s="1"/>
  <c r="AE220" i="2" s="1"/>
  <c r="AD221" i="2" a="1"/>
  <c r="AD221" i="2" s="1"/>
  <c r="AE221" i="2" s="1"/>
  <c r="AD222" i="2" a="1"/>
  <c r="AD222" i="2" s="1"/>
  <c r="AE222" i="2" s="1"/>
  <c r="AD223" i="2" a="1"/>
  <c r="AD223" i="2" s="1"/>
  <c r="AE223" i="2" s="1"/>
  <c r="AD224" i="2" a="1"/>
  <c r="AD224" i="2" s="1"/>
  <c r="AE224" i="2" s="1"/>
  <c r="AD225" i="2" a="1"/>
  <c r="AD225" i="2" s="1"/>
  <c r="AE225" i="2" s="1"/>
  <c r="AD226" i="2" a="1"/>
  <c r="AD226" i="2" s="1"/>
  <c r="AE226" i="2" s="1"/>
  <c r="AD227" i="2" a="1"/>
  <c r="AD227" i="2" s="1"/>
  <c r="AE227" i="2" s="1"/>
  <c r="AA215" i="2" a="1"/>
  <c r="AA215" i="2" s="1"/>
  <c r="AB215" i="2" s="1"/>
  <c r="AA216" i="2" a="1"/>
  <c r="AA216" i="2" s="1"/>
  <c r="AB216" i="2" s="1"/>
  <c r="AA217" i="2" a="1"/>
  <c r="AA217" i="2" s="1"/>
  <c r="AB217" i="2" s="1"/>
  <c r="AA218" i="2" a="1"/>
  <c r="AA218" i="2" s="1"/>
  <c r="AB218" i="2" s="1"/>
  <c r="AA219" i="2" a="1"/>
  <c r="AA219" i="2" s="1"/>
  <c r="AB219" i="2" s="1"/>
  <c r="AA220" i="2" a="1"/>
  <c r="AA220" i="2" s="1"/>
  <c r="AB220" i="2" s="1"/>
  <c r="AA221" i="2" a="1"/>
  <c r="AA221" i="2" s="1"/>
  <c r="AB221" i="2" s="1"/>
  <c r="AA222" i="2" a="1"/>
  <c r="AA222" i="2" s="1"/>
  <c r="AB222" i="2" s="1"/>
  <c r="AA223" i="2" a="1"/>
  <c r="AA223" i="2" s="1"/>
  <c r="AB223" i="2" s="1"/>
  <c r="AA224" i="2" a="1"/>
  <c r="AA224" i="2" s="1"/>
  <c r="AB224" i="2" s="1"/>
  <c r="AA225" i="2" a="1"/>
  <c r="AA225" i="2" s="1"/>
  <c r="AB225" i="2" s="1"/>
  <c r="AA226" i="2" a="1"/>
  <c r="AA226" i="2" s="1"/>
  <c r="AB226" i="2" s="1"/>
  <c r="AA227" i="2" a="1"/>
  <c r="AA227" i="2" s="1"/>
  <c r="AB227" i="2" s="1"/>
  <c r="X215" i="2" a="1"/>
  <c r="X215" i="2" s="1"/>
  <c r="Y215" i="2" s="1"/>
  <c r="X216" i="2" a="1"/>
  <c r="X216" i="2" s="1"/>
  <c r="Y216" i="2" s="1"/>
  <c r="X217" i="2" a="1"/>
  <c r="X217" i="2" s="1"/>
  <c r="Y217" i="2" s="1"/>
  <c r="X218" i="2" a="1"/>
  <c r="X218" i="2" s="1"/>
  <c r="Y218" i="2" s="1"/>
  <c r="X219" i="2" a="1"/>
  <c r="X219" i="2" s="1"/>
  <c r="Y219" i="2" s="1"/>
  <c r="X220" i="2" a="1"/>
  <c r="X220" i="2" s="1"/>
  <c r="Y220" i="2" s="1"/>
  <c r="X221" i="2" a="1"/>
  <c r="X221" i="2" s="1"/>
  <c r="Y221" i="2" s="1"/>
  <c r="X222" i="2" a="1"/>
  <c r="X222" i="2" s="1"/>
  <c r="Y222" i="2" s="1"/>
  <c r="X223" i="2" a="1"/>
  <c r="X223" i="2" s="1"/>
  <c r="Y223" i="2" s="1"/>
  <c r="X224" i="2" a="1"/>
  <c r="X224" i="2" s="1"/>
  <c r="Y224" i="2" s="1"/>
  <c r="X225" i="2" a="1"/>
  <c r="X225" i="2" s="1"/>
  <c r="Y225" i="2" s="1"/>
  <c r="X226" i="2" a="1"/>
  <c r="X226" i="2" s="1"/>
  <c r="Y226" i="2" s="1"/>
  <c r="X227" i="2" a="1"/>
  <c r="X227" i="2" s="1"/>
  <c r="Y227" i="2" s="1"/>
  <c r="AO458" i="2"/>
  <c r="AO229" i="2"/>
  <c r="AO230" i="2"/>
  <c r="AO231" i="2"/>
  <c r="AO232" i="2"/>
  <c r="AO233" i="2"/>
  <c r="AO234" i="2"/>
  <c r="AO235" i="2"/>
  <c r="AG228" i="2" a="1"/>
  <c r="AG228" i="2" s="1"/>
  <c r="AH228" i="2" s="1"/>
  <c r="AG229" i="2" a="1"/>
  <c r="AG229" i="2" s="1"/>
  <c r="AH229" i="2" s="1"/>
  <c r="AG230" i="2" a="1"/>
  <c r="AG230" i="2" s="1"/>
  <c r="AH230" i="2" s="1"/>
  <c r="AG231" i="2" a="1"/>
  <c r="AG231" i="2" s="1"/>
  <c r="AH231" i="2" s="1"/>
  <c r="AG232" i="2" a="1"/>
  <c r="AG232" i="2" s="1"/>
  <c r="AH232" i="2" s="1"/>
  <c r="AG233" i="2" a="1"/>
  <c r="AG233" i="2" s="1"/>
  <c r="AH233" i="2" s="1"/>
  <c r="AG234" i="2" a="1"/>
  <c r="AG234" i="2" s="1"/>
  <c r="AH234" i="2" s="1"/>
  <c r="AG235" i="2" a="1"/>
  <c r="AG235" i="2" s="1"/>
  <c r="AH235" i="2" s="1"/>
  <c r="AD228" i="2" a="1"/>
  <c r="AD228" i="2" s="1"/>
  <c r="AE228" i="2" s="1"/>
  <c r="AD229" i="2" a="1"/>
  <c r="AD229" i="2" s="1"/>
  <c r="AE229" i="2" s="1"/>
  <c r="AD230" i="2" a="1"/>
  <c r="AD230" i="2" s="1"/>
  <c r="AE230" i="2" s="1"/>
  <c r="AD231" i="2" a="1"/>
  <c r="AD231" i="2" s="1"/>
  <c r="AE231" i="2" s="1"/>
  <c r="AD232" i="2" a="1"/>
  <c r="AD232" i="2" s="1"/>
  <c r="AE232" i="2" s="1"/>
  <c r="AD233" i="2" a="1"/>
  <c r="AD233" i="2" s="1"/>
  <c r="AE233" i="2" s="1"/>
  <c r="AD234" i="2" a="1"/>
  <c r="AD234" i="2" s="1"/>
  <c r="AE234" i="2" s="1"/>
  <c r="AD235" i="2" a="1"/>
  <c r="AD235" i="2" s="1"/>
  <c r="AE235" i="2" s="1"/>
  <c r="AA228" i="2" a="1"/>
  <c r="AA228" i="2" s="1"/>
  <c r="AB228" i="2" s="1"/>
  <c r="AA229" i="2" a="1"/>
  <c r="AA229" i="2" s="1"/>
  <c r="AB229" i="2" s="1"/>
  <c r="AA230" i="2" a="1"/>
  <c r="AA230" i="2" s="1"/>
  <c r="AB230" i="2" s="1"/>
  <c r="AA231" i="2" a="1"/>
  <c r="AA231" i="2" s="1"/>
  <c r="AB231" i="2" s="1"/>
  <c r="AA232" i="2" a="1"/>
  <c r="AA232" i="2" s="1"/>
  <c r="AB232" i="2" s="1"/>
  <c r="AA233" i="2" a="1"/>
  <c r="AA233" i="2" s="1"/>
  <c r="AB233" i="2" s="1"/>
  <c r="AA234" i="2" a="1"/>
  <c r="AA234" i="2" s="1"/>
  <c r="AB234" i="2" s="1"/>
  <c r="AA235" i="2" a="1"/>
  <c r="AA235" i="2" s="1"/>
  <c r="AB235" i="2" s="1"/>
  <c r="X228" i="2" a="1"/>
  <c r="X228" i="2" s="1"/>
  <c r="Y228" i="2" s="1"/>
  <c r="X229" i="2" a="1"/>
  <c r="X229" i="2" s="1"/>
  <c r="Y229" i="2" s="1"/>
  <c r="X230" i="2" a="1"/>
  <c r="X230" i="2" s="1"/>
  <c r="Y230" i="2" s="1"/>
  <c r="X231" i="2" a="1"/>
  <c r="X231" i="2" s="1"/>
  <c r="Y231" i="2" s="1"/>
  <c r="X232" i="2" a="1"/>
  <c r="X232" i="2" s="1"/>
  <c r="Y232" i="2" s="1"/>
  <c r="X233" i="2" a="1"/>
  <c r="X233" i="2" s="1"/>
  <c r="Y233" i="2" s="1"/>
  <c r="X234" i="2" a="1"/>
  <c r="X234" i="2" s="1"/>
  <c r="Y234" i="2" s="1"/>
  <c r="X235" i="2" a="1"/>
  <c r="X235" i="2" s="1"/>
  <c r="Y235" i="2" s="1"/>
  <c r="AO237" i="2"/>
  <c r="AO238" i="2"/>
  <c r="AO241" i="2"/>
  <c r="AG236" i="2" a="1"/>
  <c r="AG236" i="2" s="1"/>
  <c r="AH236" i="2" s="1"/>
  <c r="AG237" i="2" a="1"/>
  <c r="AG237" i="2" s="1"/>
  <c r="AH237" i="2" s="1"/>
  <c r="AG238" i="2" a="1"/>
  <c r="AG238" i="2" s="1"/>
  <c r="AH238" i="2" s="1"/>
  <c r="AG241" i="2" a="1"/>
  <c r="AG241" i="2" s="1"/>
  <c r="AH241" i="2" s="1"/>
  <c r="AD236" i="2" a="1"/>
  <c r="AD236" i="2" s="1"/>
  <c r="AE236" i="2" s="1"/>
  <c r="AD237" i="2" a="1"/>
  <c r="AD237" i="2" s="1"/>
  <c r="AE237" i="2" s="1"/>
  <c r="AD238" i="2" a="1"/>
  <c r="AD238" i="2" s="1"/>
  <c r="AE238" i="2" s="1"/>
  <c r="AD241" i="2" a="1"/>
  <c r="AD241" i="2" s="1"/>
  <c r="AE241" i="2" s="1"/>
  <c r="AA236" i="2" a="1"/>
  <c r="AA236" i="2" s="1"/>
  <c r="AB236" i="2" s="1"/>
  <c r="AA237" i="2" a="1"/>
  <c r="AA237" i="2" s="1"/>
  <c r="AB237" i="2" s="1"/>
  <c r="AA238" i="2" a="1"/>
  <c r="AA238" i="2" s="1"/>
  <c r="AB238" i="2" s="1"/>
  <c r="AA241" i="2" a="1"/>
  <c r="AA241" i="2" s="1"/>
  <c r="AB241" i="2" s="1"/>
  <c r="X236" i="2" a="1"/>
  <c r="X236" i="2" s="1"/>
  <c r="Y236" i="2" s="1"/>
  <c r="X237" i="2" a="1"/>
  <c r="X237" i="2" s="1"/>
  <c r="Y237" i="2" s="1"/>
  <c r="X238" i="2" a="1"/>
  <c r="X238" i="2" s="1"/>
  <c r="Y238" i="2" s="1"/>
  <c r="X241" i="2" a="1"/>
  <c r="X241" i="2" s="1"/>
  <c r="Y241" i="2" s="1"/>
  <c r="AO244" i="2"/>
  <c r="AO245" i="2"/>
  <c r="AO246" i="2"/>
  <c r="AO247" i="2"/>
  <c r="AG244" i="2" a="1"/>
  <c r="AG244" i="2" s="1"/>
  <c r="AH244" i="2" s="1"/>
  <c r="AG245" i="2" a="1"/>
  <c r="AG245" i="2" s="1"/>
  <c r="AH245" i="2" s="1"/>
  <c r="AG246" i="2" a="1"/>
  <c r="AG246" i="2" s="1"/>
  <c r="AH246" i="2" s="1"/>
  <c r="AD244" i="2" a="1"/>
  <c r="AD244" i="2" s="1"/>
  <c r="AE244" i="2" s="1"/>
  <c r="AD245" i="2" a="1"/>
  <c r="AD245" i="2" s="1"/>
  <c r="AE245" i="2" s="1"/>
  <c r="AD246" i="2" a="1"/>
  <c r="AD246" i="2" s="1"/>
  <c r="AE246" i="2" s="1"/>
  <c r="AA244" i="2" a="1"/>
  <c r="AA244" i="2" s="1"/>
  <c r="AB244" i="2" s="1"/>
  <c r="AA245" i="2" a="1"/>
  <c r="AA245" i="2" s="1"/>
  <c r="AB245" i="2" s="1"/>
  <c r="AA246" i="2" a="1"/>
  <c r="AA246" i="2" s="1"/>
  <c r="AB246" i="2" s="1"/>
  <c r="X244" i="2" a="1"/>
  <c r="X244" i="2" s="1"/>
  <c r="Y244" i="2" s="1"/>
  <c r="X245" i="2" a="1"/>
  <c r="X245" i="2" s="1"/>
  <c r="Y245" i="2" s="1"/>
  <c r="X246" i="2" a="1"/>
  <c r="X246" i="2" s="1"/>
  <c r="Y246" i="2" s="1"/>
  <c r="AO248" i="2"/>
  <c r="AO249" i="2"/>
  <c r="AO250" i="2"/>
  <c r="AG247" i="2" a="1"/>
  <c r="AG247" i="2" s="1"/>
  <c r="AH247" i="2" s="1"/>
  <c r="AG248" i="2" a="1"/>
  <c r="AG248" i="2" s="1"/>
  <c r="AH248" i="2" s="1"/>
  <c r="AG249" i="2" a="1"/>
  <c r="AG249" i="2" s="1"/>
  <c r="AH249" i="2" s="1"/>
  <c r="AD247" i="2" a="1"/>
  <c r="AD247" i="2" s="1"/>
  <c r="AE247" i="2" s="1"/>
  <c r="AD248" i="2" a="1"/>
  <c r="AD248" i="2" s="1"/>
  <c r="AE248" i="2" s="1"/>
  <c r="AD249" i="2" a="1"/>
  <c r="AD249" i="2" s="1"/>
  <c r="AE249" i="2" s="1"/>
  <c r="AA247" i="2" a="1"/>
  <c r="AA247" i="2" s="1"/>
  <c r="AB247" i="2" s="1"/>
  <c r="AA248" i="2" a="1"/>
  <c r="AA248" i="2" s="1"/>
  <c r="AB248" i="2" s="1"/>
  <c r="AA249" i="2" a="1"/>
  <c r="AA249" i="2" s="1"/>
  <c r="AB249" i="2" s="1"/>
  <c r="X247" i="2" a="1"/>
  <c r="X247" i="2" s="1"/>
  <c r="Y247" i="2" s="1"/>
  <c r="X248" i="2" a="1"/>
  <c r="X248" i="2" s="1"/>
  <c r="Y248" i="2" s="1"/>
  <c r="X249" i="2" a="1"/>
  <c r="X249" i="2" s="1"/>
  <c r="Y249" i="2" s="1"/>
  <c r="AD250" i="2" a="1"/>
  <c r="AD250" i="2" s="1"/>
  <c r="AE250" i="2" s="1"/>
  <c r="AO251" i="2"/>
  <c r="AG250" i="2" a="1"/>
  <c r="AG250" i="2" s="1"/>
  <c r="AH250" i="2" s="1"/>
  <c r="AG251" i="2" a="1"/>
  <c r="AG251" i="2" s="1"/>
  <c r="AH251" i="2" s="1"/>
  <c r="AG252" i="2" a="1"/>
  <c r="AG252" i="2" s="1"/>
  <c r="AH252" i="2" s="1"/>
  <c r="AD251" i="2" a="1"/>
  <c r="AD251" i="2" s="1"/>
  <c r="AE251" i="2" s="1"/>
  <c r="AD252" i="2" a="1"/>
  <c r="AD252" i="2" s="1"/>
  <c r="AE252" i="2" s="1"/>
  <c r="AA250" i="2" a="1"/>
  <c r="AA250" i="2" s="1"/>
  <c r="AB250" i="2" s="1"/>
  <c r="AA251" i="2" a="1"/>
  <c r="AA251" i="2" s="1"/>
  <c r="AB251" i="2" s="1"/>
  <c r="AA252" i="2" a="1"/>
  <c r="AA252" i="2" s="1"/>
  <c r="AB252" i="2" s="1"/>
  <c r="X250" i="2" a="1"/>
  <c r="X250" i="2" s="1"/>
  <c r="Y250" i="2" s="1"/>
  <c r="X251" i="2" a="1"/>
  <c r="X251" i="2" s="1"/>
  <c r="Y251" i="2" s="1"/>
  <c r="X252" i="2" a="1"/>
  <c r="X252" i="2" s="1"/>
  <c r="Y252" i="2" s="1"/>
  <c r="AG253" i="2" a="1"/>
  <c r="AG253" i="2" s="1"/>
  <c r="AH253" i="2" s="1"/>
  <c r="AG254" i="2" a="1"/>
  <c r="AG254" i="2" s="1"/>
  <c r="AH254" i="2" s="1"/>
  <c r="AG255" i="2" a="1"/>
  <c r="AG255" i="2" s="1"/>
  <c r="AH255" i="2" s="1"/>
  <c r="AG256" i="2" a="1"/>
  <c r="AG256" i="2" s="1"/>
  <c r="AH256" i="2" s="1"/>
  <c r="AG257" i="2" a="1"/>
  <c r="AG257" i="2" s="1"/>
  <c r="AH257" i="2" s="1"/>
  <c r="AD253" i="2" a="1"/>
  <c r="AD253" i="2" s="1"/>
  <c r="AE253" i="2" s="1"/>
  <c r="AD254" i="2" a="1"/>
  <c r="AD254" i="2" s="1"/>
  <c r="AE254" i="2" s="1"/>
  <c r="AD255" i="2" a="1"/>
  <c r="AD255" i="2" s="1"/>
  <c r="AE255" i="2" s="1"/>
  <c r="AD256" i="2" a="1"/>
  <c r="AD256" i="2" s="1"/>
  <c r="AE256" i="2" s="1"/>
  <c r="AD257" i="2" a="1"/>
  <c r="AD257" i="2" s="1"/>
  <c r="AE257" i="2" s="1"/>
  <c r="AA253" i="2" a="1"/>
  <c r="AA253" i="2" s="1"/>
  <c r="AB253" i="2" s="1"/>
  <c r="AA254" i="2" a="1"/>
  <c r="AA254" i="2" s="1"/>
  <c r="AB254" i="2" s="1"/>
  <c r="AA255" i="2" a="1"/>
  <c r="AA255" i="2" s="1"/>
  <c r="AB255" i="2" s="1"/>
  <c r="AA256" i="2" a="1"/>
  <c r="AA256" i="2" s="1"/>
  <c r="AB256" i="2" s="1"/>
  <c r="AA257" i="2" a="1"/>
  <c r="AA257" i="2" s="1"/>
  <c r="AB257" i="2" s="1"/>
  <c r="X253" i="2" a="1"/>
  <c r="X253" i="2" s="1"/>
  <c r="Y253" i="2" s="1"/>
  <c r="X254" i="2" a="1"/>
  <c r="X254" i="2" s="1"/>
  <c r="Y254" i="2" s="1"/>
  <c r="X255" i="2" a="1"/>
  <c r="X255" i="2" s="1"/>
  <c r="Y255" i="2" s="1"/>
  <c r="X256" i="2" a="1"/>
  <c r="X256" i="2" s="1"/>
  <c r="Y256" i="2" s="1"/>
  <c r="AO252" i="2"/>
  <c r="AO253" i="2"/>
  <c r="AO254" i="2"/>
  <c r="AO255" i="2"/>
  <c r="AO256" i="2"/>
  <c r="AO257" i="2"/>
  <c r="AO258" i="2"/>
  <c r="AO259" i="2"/>
  <c r="AO260" i="2"/>
  <c r="AO261" i="2"/>
  <c r="AO262" i="2"/>
  <c r="AG258" i="2" a="1"/>
  <c r="AG258" i="2" s="1"/>
  <c r="AH258" i="2" s="1"/>
  <c r="AG259" i="2" a="1"/>
  <c r="AG259" i="2" s="1"/>
  <c r="AH259" i="2" s="1"/>
  <c r="AG260" i="2" a="1"/>
  <c r="AG260" i="2" s="1"/>
  <c r="AH260" i="2" s="1"/>
  <c r="AG261" i="2" a="1"/>
  <c r="AG261" i="2" s="1"/>
  <c r="AH261" i="2" s="1"/>
  <c r="AD258" i="2" a="1"/>
  <c r="AD258" i="2" s="1"/>
  <c r="AE258" i="2" s="1"/>
  <c r="AD259" i="2" a="1"/>
  <c r="AD259" i="2" s="1"/>
  <c r="AE259" i="2" s="1"/>
  <c r="AD260" i="2" a="1"/>
  <c r="AD260" i="2" s="1"/>
  <c r="AE260" i="2" s="1"/>
  <c r="AD261" i="2" a="1"/>
  <c r="AD261" i="2" s="1"/>
  <c r="AE261" i="2" s="1"/>
  <c r="AA258" i="2" a="1"/>
  <c r="AA258" i="2" s="1"/>
  <c r="AB258" i="2" s="1"/>
  <c r="AA259" i="2" a="1"/>
  <c r="AA259" i="2" s="1"/>
  <c r="AB259" i="2" s="1"/>
  <c r="AA260" i="2" a="1"/>
  <c r="AA260" i="2" s="1"/>
  <c r="AB260" i="2" s="1"/>
  <c r="AA261" i="2" a="1"/>
  <c r="AA261" i="2" s="1"/>
  <c r="AB261" i="2" s="1"/>
  <c r="X257" i="2" a="1"/>
  <c r="X257" i="2" s="1"/>
  <c r="Y257" i="2" s="1"/>
  <c r="X258" i="2" a="1"/>
  <c r="X258" i="2" s="1"/>
  <c r="Y258" i="2" s="1"/>
  <c r="X259" i="2" a="1"/>
  <c r="X259" i="2" s="1"/>
  <c r="Y259" i="2" s="1"/>
  <c r="X260" i="2" a="1"/>
  <c r="X260" i="2" s="1"/>
  <c r="Y260" i="2" s="1"/>
  <c r="X261" i="2" a="1"/>
  <c r="X261" i="2" s="1"/>
  <c r="Y261" i="2" s="1"/>
  <c r="AO263" i="2"/>
  <c r="AO264" i="2"/>
  <c r="AO265" i="2"/>
  <c r="AO266" i="2"/>
  <c r="AO267" i="2"/>
  <c r="AO268" i="2"/>
  <c r="AO269" i="2"/>
  <c r="AO270" i="2"/>
  <c r="AO271" i="2"/>
  <c r="AO272" i="2"/>
  <c r="AG262" i="2" a="1"/>
  <c r="AG262" i="2" s="1"/>
  <c r="AH262" i="2" s="1"/>
  <c r="AG263" i="2" a="1"/>
  <c r="AG263" i="2" s="1"/>
  <c r="AH263" i="2" s="1"/>
  <c r="AG264" i="2" a="1"/>
  <c r="AG264" i="2" s="1"/>
  <c r="AH264" i="2" s="1"/>
  <c r="AG265" i="2" a="1"/>
  <c r="AG265" i="2" s="1"/>
  <c r="AH265" i="2" s="1"/>
  <c r="AG266" i="2" a="1"/>
  <c r="AG266" i="2" s="1"/>
  <c r="AH266" i="2" s="1"/>
  <c r="AG267" i="2" a="1"/>
  <c r="AG267" i="2" s="1"/>
  <c r="AH267" i="2" s="1"/>
  <c r="AG268" i="2" a="1"/>
  <c r="AG268" i="2" s="1"/>
  <c r="AH268" i="2" s="1"/>
  <c r="AG269" i="2" a="1"/>
  <c r="AG269" i="2" s="1"/>
  <c r="AH269" i="2" s="1"/>
  <c r="AG270" i="2" a="1"/>
  <c r="AG270" i="2" s="1"/>
  <c r="AH270" i="2" s="1"/>
  <c r="AG271" i="2" a="1"/>
  <c r="AG271" i="2" s="1"/>
  <c r="AH271" i="2" s="1"/>
  <c r="AD262" i="2" a="1"/>
  <c r="AD262" i="2" s="1"/>
  <c r="AE262" i="2" s="1"/>
  <c r="AD263" i="2" a="1"/>
  <c r="AD263" i="2" s="1"/>
  <c r="AE263" i="2" s="1"/>
  <c r="AD264" i="2" a="1"/>
  <c r="AD264" i="2" s="1"/>
  <c r="AE264" i="2" s="1"/>
  <c r="AD265" i="2" a="1"/>
  <c r="AD265" i="2" s="1"/>
  <c r="AE265" i="2" s="1"/>
  <c r="AD266" i="2" a="1"/>
  <c r="AD266" i="2" s="1"/>
  <c r="AE266" i="2" s="1"/>
  <c r="AD267" i="2" a="1"/>
  <c r="AD267" i="2" s="1"/>
  <c r="AE267" i="2" s="1"/>
  <c r="AD268" i="2" a="1"/>
  <c r="AD268" i="2" s="1"/>
  <c r="AE268" i="2" s="1"/>
  <c r="AD269" i="2" a="1"/>
  <c r="AD269" i="2" s="1"/>
  <c r="AE269" i="2" s="1"/>
  <c r="AD270" i="2" a="1"/>
  <c r="AD270" i="2" s="1"/>
  <c r="AE270" i="2" s="1"/>
  <c r="AD271" i="2" a="1"/>
  <c r="AD271" i="2" s="1"/>
  <c r="AE271" i="2" s="1"/>
  <c r="AA262" i="2" a="1"/>
  <c r="AA262" i="2" s="1"/>
  <c r="AB262" i="2" s="1"/>
  <c r="AA263" i="2" a="1"/>
  <c r="AA263" i="2" s="1"/>
  <c r="AB263" i="2" s="1"/>
  <c r="AA264" i="2" a="1"/>
  <c r="AA264" i="2" s="1"/>
  <c r="AB264" i="2" s="1"/>
  <c r="AA265" i="2" a="1"/>
  <c r="AA265" i="2" s="1"/>
  <c r="AB265" i="2" s="1"/>
  <c r="AA266" i="2" a="1"/>
  <c r="AA266" i="2" s="1"/>
  <c r="AB266" i="2" s="1"/>
  <c r="AA267" i="2" a="1"/>
  <c r="AA267" i="2" s="1"/>
  <c r="AB267" i="2" s="1"/>
  <c r="AA268" i="2" a="1"/>
  <c r="AA268" i="2" s="1"/>
  <c r="AB268" i="2" s="1"/>
  <c r="AA269" i="2" a="1"/>
  <c r="AA269" i="2" s="1"/>
  <c r="AB269" i="2" s="1"/>
  <c r="AA270" i="2" a="1"/>
  <c r="AA270" i="2" s="1"/>
  <c r="AB270" i="2" s="1"/>
  <c r="AA271" i="2" a="1"/>
  <c r="AA271" i="2" s="1"/>
  <c r="AB271" i="2" s="1"/>
  <c r="X262" i="2" a="1"/>
  <c r="X262" i="2" s="1"/>
  <c r="Y262" i="2" s="1"/>
  <c r="X263" i="2" a="1"/>
  <c r="X263" i="2" s="1"/>
  <c r="Y263" i="2" s="1"/>
  <c r="X264" i="2" a="1"/>
  <c r="X264" i="2" s="1"/>
  <c r="Y264" i="2" s="1"/>
  <c r="X265" i="2" a="1"/>
  <c r="X265" i="2" s="1"/>
  <c r="Y265" i="2" s="1"/>
  <c r="X266" i="2" a="1"/>
  <c r="X266" i="2" s="1"/>
  <c r="Y266" i="2" s="1"/>
  <c r="X267" i="2" a="1"/>
  <c r="X267" i="2" s="1"/>
  <c r="Y267" i="2" s="1"/>
  <c r="X268" i="2" a="1"/>
  <c r="X268" i="2" s="1"/>
  <c r="Y268" i="2" s="1"/>
  <c r="X269" i="2" a="1"/>
  <c r="X269" i="2" s="1"/>
  <c r="Y269" i="2" s="1"/>
  <c r="X270" i="2" a="1"/>
  <c r="X270" i="2" s="1"/>
  <c r="Y270" i="2" s="1"/>
  <c r="X271" i="2" a="1"/>
  <c r="X271" i="2" s="1"/>
  <c r="Y271" i="2" s="1"/>
  <c r="AO273" i="2"/>
  <c r="AO274" i="2"/>
  <c r="AO275" i="2"/>
  <c r="AO276" i="2"/>
  <c r="AO277" i="2"/>
  <c r="AO278" i="2"/>
  <c r="AO279" i="2"/>
  <c r="AG272" i="2" a="1"/>
  <c r="AG272" i="2" s="1"/>
  <c r="AH272" i="2" s="1"/>
  <c r="AG273" i="2" a="1"/>
  <c r="AG273" i="2" s="1"/>
  <c r="AH273" i="2" s="1"/>
  <c r="AG274" i="2" a="1"/>
  <c r="AG274" i="2" s="1"/>
  <c r="AH274" i="2" s="1"/>
  <c r="AG275" i="2" a="1"/>
  <c r="AG275" i="2" s="1"/>
  <c r="AH275" i="2" s="1"/>
  <c r="AG276" i="2" a="1"/>
  <c r="AG276" i="2" s="1"/>
  <c r="AH276" i="2" s="1"/>
  <c r="AG277" i="2" a="1"/>
  <c r="AG277" i="2" s="1"/>
  <c r="AH277" i="2" s="1"/>
  <c r="AG278" i="2" a="1"/>
  <c r="AG278" i="2" s="1"/>
  <c r="AH278" i="2" s="1"/>
  <c r="AD272" i="2" a="1"/>
  <c r="AD272" i="2" s="1"/>
  <c r="AE272" i="2" s="1"/>
  <c r="AD273" i="2" a="1"/>
  <c r="AD273" i="2" s="1"/>
  <c r="AE273" i="2" s="1"/>
  <c r="AD274" i="2" a="1"/>
  <c r="AD274" i="2" s="1"/>
  <c r="AE274" i="2" s="1"/>
  <c r="AD275" i="2" a="1"/>
  <c r="AD275" i="2" s="1"/>
  <c r="AE275" i="2" s="1"/>
  <c r="AD276" i="2" a="1"/>
  <c r="AD276" i="2" s="1"/>
  <c r="AE276" i="2" s="1"/>
  <c r="AD277" i="2" a="1"/>
  <c r="AD277" i="2" s="1"/>
  <c r="AE277" i="2" s="1"/>
  <c r="AD278" i="2" a="1"/>
  <c r="AD278" i="2" s="1"/>
  <c r="AE278" i="2" s="1"/>
  <c r="AA279" i="2" a="1"/>
  <c r="AA279" i="2" s="1"/>
  <c r="AB279" i="2" s="1"/>
  <c r="AA272" i="2" a="1"/>
  <c r="AA272" i="2" s="1"/>
  <c r="AB272" i="2" s="1"/>
  <c r="AA273" i="2" a="1"/>
  <c r="AA273" i="2" s="1"/>
  <c r="AB273" i="2" s="1"/>
  <c r="AA274" i="2" a="1"/>
  <c r="AA274" i="2" s="1"/>
  <c r="AB274" i="2" s="1"/>
  <c r="AA275" i="2" a="1"/>
  <c r="AA275" i="2" s="1"/>
  <c r="AB275" i="2" s="1"/>
  <c r="AA276" i="2" a="1"/>
  <c r="AA276" i="2" s="1"/>
  <c r="AB276" i="2" s="1"/>
  <c r="AA277" i="2" a="1"/>
  <c r="AA277" i="2" s="1"/>
  <c r="AB277" i="2" s="1"/>
  <c r="AA278" i="2" a="1"/>
  <c r="AA278" i="2" s="1"/>
  <c r="AB278" i="2" s="1"/>
  <c r="X272" i="2" a="1"/>
  <c r="X272" i="2" s="1"/>
  <c r="Y272" i="2" s="1"/>
  <c r="X273" i="2" a="1"/>
  <c r="X273" i="2" s="1"/>
  <c r="Y273" i="2" s="1"/>
  <c r="X274" i="2" a="1"/>
  <c r="X274" i="2" s="1"/>
  <c r="Y274" i="2" s="1"/>
  <c r="X275" i="2" a="1"/>
  <c r="X275" i="2" s="1"/>
  <c r="Y275" i="2" s="1"/>
  <c r="X276" i="2" a="1"/>
  <c r="X276" i="2" s="1"/>
  <c r="Y276" i="2" s="1"/>
  <c r="X277" i="2" a="1"/>
  <c r="X277" i="2" s="1"/>
  <c r="Y277" i="2" s="1"/>
  <c r="X278" i="2" a="1"/>
  <c r="X278" i="2" s="1"/>
  <c r="Y278" i="2" s="1"/>
  <c r="AO280" i="2"/>
  <c r="AO281" i="2"/>
  <c r="AO282" i="2"/>
  <c r="AG279" i="2" a="1"/>
  <c r="AG279" i="2" s="1"/>
  <c r="AH279" i="2" s="1"/>
  <c r="AG280" i="2" a="1"/>
  <c r="AG280" i="2" s="1"/>
  <c r="AH280" i="2" s="1"/>
  <c r="AG281" i="2" a="1"/>
  <c r="AG281" i="2" s="1"/>
  <c r="AH281" i="2" s="1"/>
  <c r="AD279" i="2" a="1"/>
  <c r="AD279" i="2" s="1"/>
  <c r="AE279" i="2" s="1"/>
  <c r="AD280" i="2" a="1"/>
  <c r="AD280" i="2" s="1"/>
  <c r="AE280" i="2" s="1"/>
  <c r="AD281" i="2" a="1"/>
  <c r="AD281" i="2" s="1"/>
  <c r="AE281" i="2" s="1"/>
  <c r="AA280" i="2" a="1"/>
  <c r="AA280" i="2" s="1"/>
  <c r="AB280" i="2" s="1"/>
  <c r="AA281" i="2" a="1"/>
  <c r="AA281" i="2" s="1"/>
  <c r="AB281" i="2" s="1"/>
  <c r="X279" i="2" a="1"/>
  <c r="X279" i="2" s="1"/>
  <c r="Y279" i="2" s="1"/>
  <c r="X280" i="2" a="1"/>
  <c r="X280" i="2" s="1"/>
  <c r="Y280" i="2" s="1"/>
  <c r="X281" i="2" a="1"/>
  <c r="X281" i="2" s="1"/>
  <c r="Y281" i="2" s="1"/>
  <c r="R11" i="2"/>
  <c r="AG282" i="2" a="1"/>
  <c r="AG282" i="2" s="1"/>
  <c r="AH282" i="2" s="1"/>
  <c r="AG283" i="2" a="1"/>
  <c r="AG283" i="2" s="1"/>
  <c r="AH283" i="2" s="1"/>
  <c r="AG284" i="2" a="1"/>
  <c r="AG284" i="2" s="1"/>
  <c r="AH284" i="2" s="1"/>
  <c r="AG285" i="2" a="1"/>
  <c r="AG285" i="2" s="1"/>
  <c r="AH285" i="2" s="1"/>
  <c r="AG286" i="2" a="1"/>
  <c r="AG286" i="2" s="1"/>
  <c r="AH286" i="2" s="1"/>
  <c r="AG287" i="2" a="1"/>
  <c r="AG287" i="2" s="1"/>
  <c r="AH287" i="2" s="1"/>
  <c r="AD282" i="2" a="1"/>
  <c r="AD282" i="2" s="1"/>
  <c r="AE282" i="2" s="1"/>
  <c r="AD283" i="2" a="1"/>
  <c r="AD283" i="2" s="1"/>
  <c r="AE283" i="2" s="1"/>
  <c r="AD284" i="2" a="1"/>
  <c r="AD284" i="2" s="1"/>
  <c r="AE284" i="2" s="1"/>
  <c r="AD285" i="2" a="1"/>
  <c r="AD285" i="2" s="1"/>
  <c r="AE285" i="2" s="1"/>
  <c r="AD286" i="2" a="1"/>
  <c r="AD286" i="2" s="1"/>
  <c r="AE286" i="2" s="1"/>
  <c r="AD287" i="2" a="1"/>
  <c r="AD287" i="2" s="1"/>
  <c r="AE287" i="2" s="1"/>
  <c r="AA282" i="2" a="1"/>
  <c r="AA282" i="2" s="1"/>
  <c r="AB282" i="2" s="1"/>
  <c r="AA283" i="2" a="1"/>
  <c r="AA283" i="2" s="1"/>
  <c r="AB283" i="2" s="1"/>
  <c r="AA284" i="2" a="1"/>
  <c r="AA284" i="2" s="1"/>
  <c r="AB284" i="2" s="1"/>
  <c r="AA285" i="2" a="1"/>
  <c r="AA285" i="2" s="1"/>
  <c r="AB285" i="2" s="1"/>
  <c r="AA286" i="2" a="1"/>
  <c r="AA286" i="2" s="1"/>
  <c r="AB286" i="2" s="1"/>
  <c r="AA287" i="2" a="1"/>
  <c r="AA287" i="2" s="1"/>
  <c r="AB287" i="2" s="1"/>
  <c r="X282" i="2" a="1"/>
  <c r="X282" i="2" s="1"/>
  <c r="Y282" i="2" s="1"/>
  <c r="X283" i="2" a="1"/>
  <c r="X283" i="2" s="1"/>
  <c r="Y283" i="2" s="1"/>
  <c r="X284" i="2" a="1"/>
  <c r="X284" i="2" s="1"/>
  <c r="Y284" i="2" s="1"/>
  <c r="X285" i="2" a="1"/>
  <c r="X285" i="2" s="1"/>
  <c r="Y285" i="2" s="1"/>
  <c r="X286" i="2" a="1"/>
  <c r="X286" i="2" s="1"/>
  <c r="Y286" i="2" s="1"/>
  <c r="X287" i="2" a="1"/>
  <c r="X287" i="2" s="1"/>
  <c r="Y287" i="2" s="1"/>
  <c r="AO283" i="2"/>
  <c r="AO284" i="2"/>
  <c r="AO285" i="2"/>
  <c r="AO286" i="2"/>
  <c r="AO287" i="2"/>
  <c r="AO291" i="2"/>
  <c r="AO288" i="2"/>
  <c r="AO289" i="2"/>
  <c r="AO290" i="2"/>
  <c r="AG288" i="2" a="1"/>
  <c r="AG288" i="2" s="1"/>
  <c r="AH288" i="2" s="1"/>
  <c r="AG289" i="2" a="1"/>
  <c r="AG289" i="2" s="1"/>
  <c r="AH289" i="2" s="1"/>
  <c r="AG290" i="2" a="1"/>
  <c r="AG290" i="2" s="1"/>
  <c r="AH290" i="2" s="1"/>
  <c r="AD288" i="2" a="1"/>
  <c r="AD288" i="2" s="1"/>
  <c r="AE288" i="2" s="1"/>
  <c r="AD289" i="2" a="1"/>
  <c r="AD289" i="2" s="1"/>
  <c r="AE289" i="2" s="1"/>
  <c r="AD290" i="2" a="1"/>
  <c r="AD290" i="2" s="1"/>
  <c r="AE290" i="2" s="1"/>
  <c r="AA288" i="2" a="1"/>
  <c r="AA288" i="2" s="1"/>
  <c r="AB288" i="2" s="1"/>
  <c r="AA289" i="2" a="1"/>
  <c r="AA289" i="2" s="1"/>
  <c r="AB289" i="2" s="1"/>
  <c r="AA290" i="2" a="1"/>
  <c r="AA290" i="2" s="1"/>
  <c r="AB290" i="2" s="1"/>
  <c r="X288" i="2" a="1"/>
  <c r="X288" i="2" s="1"/>
  <c r="Y288" i="2" s="1"/>
  <c r="X289" i="2" a="1"/>
  <c r="X289" i="2" s="1"/>
  <c r="Y289" i="2" s="1"/>
  <c r="X290" i="2" a="1"/>
  <c r="X290" i="2" s="1"/>
  <c r="Y290" i="2" s="1"/>
  <c r="AO498" i="2"/>
  <c r="AP498" i="2" s="1"/>
  <c r="AG498" i="2" a="1"/>
  <c r="AG498" i="2" s="1"/>
  <c r="AH498" i="2" s="1"/>
  <c r="AD498" i="2" a="1"/>
  <c r="AD498" i="2" s="1"/>
  <c r="AE498" i="2" s="1"/>
  <c r="AA498" i="2" a="1"/>
  <c r="AA498" i="2" s="1"/>
  <c r="AB498" i="2" s="1"/>
  <c r="X498" i="2"/>
  <c r="Y498" i="2" s="1"/>
  <c r="AO497" i="2"/>
  <c r="AP497" i="2" s="1"/>
  <c r="AG497" i="2" a="1"/>
  <c r="AG497" i="2" s="1"/>
  <c r="AH497" i="2" s="1"/>
  <c r="AD497" i="2" a="1"/>
  <c r="AD497" i="2" s="1"/>
  <c r="AE497" i="2" s="1"/>
  <c r="AA497" i="2" a="1"/>
  <c r="AA497" i="2" s="1"/>
  <c r="AB497" i="2" s="1"/>
  <c r="X497" i="2" a="1"/>
  <c r="X497" i="2" s="1"/>
  <c r="Y497" i="2" s="1"/>
  <c r="AO496" i="2"/>
  <c r="AP496" i="2" s="1"/>
  <c r="AG496" i="2" a="1"/>
  <c r="AG496" i="2" s="1"/>
  <c r="AH496" i="2" s="1"/>
  <c r="AD496" i="2" a="1"/>
  <c r="AD496" i="2" s="1"/>
  <c r="AE496" i="2" s="1"/>
  <c r="AA496" i="2" a="1"/>
  <c r="AA496" i="2" s="1"/>
  <c r="AB496" i="2" s="1"/>
  <c r="X496" i="2" a="1"/>
  <c r="X496" i="2" s="1"/>
  <c r="Y496" i="2" s="1"/>
  <c r="AO495" i="2"/>
  <c r="AG495" i="2" a="1"/>
  <c r="AG495" i="2" s="1"/>
  <c r="AH495" i="2" s="1"/>
  <c r="AD495" i="2" a="1"/>
  <c r="AD495" i="2" s="1"/>
  <c r="AE495" i="2" s="1"/>
  <c r="AA495" i="2" a="1"/>
  <c r="AA495" i="2" s="1"/>
  <c r="AB495" i="2" s="1"/>
  <c r="X495" i="2" a="1"/>
  <c r="X495" i="2" s="1"/>
  <c r="Y495" i="2" s="1"/>
  <c r="AO494" i="2"/>
  <c r="AG494" i="2" a="1"/>
  <c r="AG494" i="2" s="1"/>
  <c r="AH494" i="2" s="1"/>
  <c r="AD494" i="2" a="1"/>
  <c r="AD494" i="2" s="1"/>
  <c r="AE494" i="2" s="1"/>
  <c r="AA494" i="2" a="1"/>
  <c r="AA494" i="2" s="1"/>
  <c r="AB494" i="2" s="1"/>
  <c r="X494" i="2" a="1"/>
  <c r="X494" i="2" s="1"/>
  <c r="Y494" i="2" s="1"/>
  <c r="AO493" i="2"/>
  <c r="AG493" i="2" a="1"/>
  <c r="AG493" i="2" s="1"/>
  <c r="AH493" i="2" s="1"/>
  <c r="AD493" i="2" a="1"/>
  <c r="AD493" i="2" s="1"/>
  <c r="AE493" i="2" s="1"/>
  <c r="AA493" i="2" a="1"/>
  <c r="AA493" i="2" s="1"/>
  <c r="AB493" i="2" s="1"/>
  <c r="X493" i="2" a="1"/>
  <c r="X493" i="2" s="1"/>
  <c r="Y493" i="2" s="1"/>
  <c r="AO492" i="2"/>
  <c r="AG492" i="2" a="1"/>
  <c r="AG492" i="2" s="1"/>
  <c r="AH492" i="2" s="1"/>
  <c r="AD492" i="2" a="1"/>
  <c r="AD492" i="2" s="1"/>
  <c r="AE492" i="2" s="1"/>
  <c r="AA492" i="2" a="1"/>
  <c r="AA492" i="2" s="1"/>
  <c r="AB492" i="2" s="1"/>
  <c r="X492" i="2" a="1"/>
  <c r="X492" i="2" s="1"/>
  <c r="Y492" i="2" s="1"/>
  <c r="AO491" i="2"/>
  <c r="AG491" i="2" a="1"/>
  <c r="AG491" i="2" s="1"/>
  <c r="AH491" i="2" s="1"/>
  <c r="AD491" i="2" a="1"/>
  <c r="AD491" i="2" s="1"/>
  <c r="AE491" i="2" s="1"/>
  <c r="AA491" i="2" a="1"/>
  <c r="AA491" i="2" s="1"/>
  <c r="AB491" i="2" s="1"/>
  <c r="X491" i="2" a="1"/>
  <c r="X491" i="2" s="1"/>
  <c r="Y491" i="2" s="1"/>
  <c r="AO490" i="2"/>
  <c r="AG490" i="2" a="1"/>
  <c r="AG490" i="2" s="1"/>
  <c r="AH490" i="2" s="1"/>
  <c r="AD490" i="2" a="1"/>
  <c r="AD490" i="2" s="1"/>
  <c r="AE490" i="2" s="1"/>
  <c r="AA490" i="2" a="1"/>
  <c r="AA490" i="2" s="1"/>
  <c r="AB490" i="2" s="1"/>
  <c r="X490" i="2" a="1"/>
  <c r="X490" i="2" s="1"/>
  <c r="Y490" i="2" s="1"/>
  <c r="AO489" i="2"/>
  <c r="AP489" i="2" s="1"/>
  <c r="AG489" i="2" a="1"/>
  <c r="AG489" i="2" s="1"/>
  <c r="AH489" i="2" s="1"/>
  <c r="AD489" i="2" a="1"/>
  <c r="AD489" i="2" s="1"/>
  <c r="AE489" i="2" s="1"/>
  <c r="AA489" i="2" a="1"/>
  <c r="AA489" i="2" s="1"/>
  <c r="AB489" i="2" s="1"/>
  <c r="X489" i="2" a="1"/>
  <c r="X489" i="2" s="1"/>
  <c r="Y489" i="2" s="1"/>
  <c r="AO488" i="2"/>
  <c r="AG488" i="2" a="1"/>
  <c r="AG488" i="2" s="1"/>
  <c r="AH488" i="2" s="1"/>
  <c r="AD488" i="2" a="1"/>
  <c r="AD488" i="2" s="1"/>
  <c r="AE488" i="2" s="1"/>
  <c r="AA488" i="2" a="1"/>
  <c r="AA488" i="2" s="1"/>
  <c r="AB488" i="2" s="1"/>
  <c r="X488" i="2" a="1"/>
  <c r="X488" i="2" s="1"/>
  <c r="Y488" i="2" s="1"/>
  <c r="AO487" i="2"/>
  <c r="AG487" i="2" a="1"/>
  <c r="AG487" i="2" s="1"/>
  <c r="AH487" i="2" s="1"/>
  <c r="AD487" i="2" a="1"/>
  <c r="AD487" i="2" s="1"/>
  <c r="AE487" i="2" s="1"/>
  <c r="AA487" i="2" a="1"/>
  <c r="AA487" i="2" s="1"/>
  <c r="AB487" i="2" s="1"/>
  <c r="X487" i="2" a="1"/>
  <c r="X487" i="2" s="1"/>
  <c r="Y487" i="2" s="1"/>
  <c r="AO486" i="2"/>
  <c r="AG486" i="2" a="1"/>
  <c r="AG486" i="2" s="1"/>
  <c r="AH486" i="2" s="1"/>
  <c r="AD486" i="2" a="1"/>
  <c r="AD486" i="2" s="1"/>
  <c r="AE486" i="2" s="1"/>
  <c r="AA486" i="2" a="1"/>
  <c r="AA486" i="2" s="1"/>
  <c r="AB486" i="2" s="1"/>
  <c r="X486" i="2" a="1"/>
  <c r="X486" i="2" s="1"/>
  <c r="Y486" i="2" s="1"/>
  <c r="AO485" i="2"/>
  <c r="AG485" i="2" a="1"/>
  <c r="AG485" i="2" s="1"/>
  <c r="AH485" i="2" s="1"/>
  <c r="AD485" i="2" a="1"/>
  <c r="AD485" i="2" s="1"/>
  <c r="AE485" i="2" s="1"/>
  <c r="AA485" i="2" a="1"/>
  <c r="AA485" i="2" s="1"/>
  <c r="AB485" i="2" s="1"/>
  <c r="X485" i="2" a="1"/>
  <c r="X485" i="2" s="1"/>
  <c r="Y485" i="2" s="1"/>
  <c r="AO484" i="2"/>
  <c r="AG484" i="2" a="1"/>
  <c r="AG484" i="2" s="1"/>
  <c r="AH484" i="2" s="1"/>
  <c r="AD484" i="2" a="1"/>
  <c r="AD484" i="2" s="1"/>
  <c r="AE484" i="2" s="1"/>
  <c r="AA484" i="2" a="1"/>
  <c r="AA484" i="2" s="1"/>
  <c r="AB484" i="2" s="1"/>
  <c r="X484" i="2" a="1"/>
  <c r="X484" i="2" s="1"/>
  <c r="Y484" i="2" s="1"/>
  <c r="AO483" i="2"/>
  <c r="AG483" i="2" a="1"/>
  <c r="AG483" i="2" s="1"/>
  <c r="AH483" i="2" s="1"/>
  <c r="AD483" i="2" a="1"/>
  <c r="AD483" i="2" s="1"/>
  <c r="AE483" i="2" s="1"/>
  <c r="AA483" i="2" a="1"/>
  <c r="AA483" i="2" s="1"/>
  <c r="AB483" i="2" s="1"/>
  <c r="X483" i="2" a="1"/>
  <c r="X483" i="2" s="1"/>
  <c r="Y483" i="2" s="1"/>
  <c r="AO482" i="2"/>
  <c r="AG482" i="2" a="1"/>
  <c r="AG482" i="2" s="1"/>
  <c r="AH482" i="2" s="1"/>
  <c r="AD482" i="2" a="1"/>
  <c r="AD482" i="2" s="1"/>
  <c r="AE482" i="2" s="1"/>
  <c r="AA482" i="2" a="1"/>
  <c r="AA482" i="2" s="1"/>
  <c r="AB482" i="2" s="1"/>
  <c r="X482" i="2" a="1"/>
  <c r="X482" i="2" s="1"/>
  <c r="Y482" i="2" s="1"/>
  <c r="AO481" i="2"/>
  <c r="AP481" i="2" s="1"/>
  <c r="AG481" i="2" a="1"/>
  <c r="AG481" i="2" s="1"/>
  <c r="AH481" i="2" s="1"/>
  <c r="AD481" i="2" a="1"/>
  <c r="AD481" i="2" s="1"/>
  <c r="AE481" i="2" s="1"/>
  <c r="AA481" i="2" a="1"/>
  <c r="AA481" i="2" s="1"/>
  <c r="AB481" i="2" s="1"/>
  <c r="X481" i="2" a="1"/>
  <c r="X481" i="2" s="1"/>
  <c r="Y481" i="2" s="1"/>
  <c r="AO480" i="2"/>
  <c r="AG480" i="2" a="1"/>
  <c r="AG480" i="2" s="1"/>
  <c r="AH480" i="2" s="1"/>
  <c r="AD480" i="2" a="1"/>
  <c r="AD480" i="2" s="1"/>
  <c r="AE480" i="2" s="1"/>
  <c r="AA480" i="2" a="1"/>
  <c r="AA480" i="2" s="1"/>
  <c r="AB480" i="2" s="1"/>
  <c r="X480" i="2" a="1"/>
  <c r="X480" i="2" s="1"/>
  <c r="Y480" i="2" s="1"/>
  <c r="AO479" i="2"/>
  <c r="AG479" i="2" a="1"/>
  <c r="AG479" i="2" s="1"/>
  <c r="AH479" i="2" s="1"/>
  <c r="AD479" i="2" a="1"/>
  <c r="AD479" i="2" s="1"/>
  <c r="AE479" i="2" s="1"/>
  <c r="AA479" i="2" a="1"/>
  <c r="AA479" i="2" s="1"/>
  <c r="AB479" i="2" s="1"/>
  <c r="X479" i="2" a="1"/>
  <c r="X479" i="2" s="1"/>
  <c r="Y479" i="2" s="1"/>
  <c r="AO478" i="2"/>
  <c r="AG478" i="2" a="1"/>
  <c r="AG478" i="2" s="1"/>
  <c r="AH478" i="2" s="1"/>
  <c r="AD478" i="2" a="1"/>
  <c r="AD478" i="2" s="1"/>
  <c r="AE478" i="2" s="1"/>
  <c r="AA478" i="2" a="1"/>
  <c r="AA478" i="2" s="1"/>
  <c r="AB478" i="2" s="1"/>
  <c r="X478" i="2" a="1"/>
  <c r="X478" i="2" s="1"/>
  <c r="Y478" i="2" s="1"/>
  <c r="AO477" i="2"/>
  <c r="AG477" i="2" a="1"/>
  <c r="AG477" i="2" s="1"/>
  <c r="AH477" i="2" s="1"/>
  <c r="AD477" i="2" a="1"/>
  <c r="AD477" i="2" s="1"/>
  <c r="AE477" i="2" s="1"/>
  <c r="AA477" i="2" a="1"/>
  <c r="AA477" i="2" s="1"/>
  <c r="AB477" i="2" s="1"/>
  <c r="X477" i="2" a="1"/>
  <c r="X477" i="2" s="1"/>
  <c r="Y477" i="2" s="1"/>
  <c r="AO476" i="2"/>
  <c r="AG476" i="2" a="1"/>
  <c r="AG476" i="2" s="1"/>
  <c r="AH476" i="2" s="1"/>
  <c r="AD476" i="2" a="1"/>
  <c r="AD476" i="2" s="1"/>
  <c r="AE476" i="2" s="1"/>
  <c r="AA476" i="2" a="1"/>
  <c r="AA476" i="2" s="1"/>
  <c r="AB476" i="2" s="1"/>
  <c r="X476" i="2" a="1"/>
  <c r="X476" i="2" s="1"/>
  <c r="Y476" i="2" s="1"/>
  <c r="AO475" i="2"/>
  <c r="AG475" i="2" a="1"/>
  <c r="AG475" i="2" s="1"/>
  <c r="AH475" i="2" s="1"/>
  <c r="AD475" i="2" a="1"/>
  <c r="AD475" i="2" s="1"/>
  <c r="AE475" i="2" s="1"/>
  <c r="AA475" i="2" a="1"/>
  <c r="AA475" i="2" s="1"/>
  <c r="AB475" i="2" s="1"/>
  <c r="X475" i="2" a="1"/>
  <c r="X475" i="2" s="1"/>
  <c r="Y475" i="2" s="1"/>
  <c r="AO474" i="2"/>
  <c r="AG474" i="2" a="1"/>
  <c r="AG474" i="2" s="1"/>
  <c r="AH474" i="2" s="1"/>
  <c r="AD474" i="2" a="1"/>
  <c r="AD474" i="2" s="1"/>
  <c r="AE474" i="2" s="1"/>
  <c r="AA474" i="2" a="1"/>
  <c r="AA474" i="2" s="1"/>
  <c r="AB474" i="2" s="1"/>
  <c r="X474" i="2" a="1"/>
  <c r="X474" i="2" s="1"/>
  <c r="Y474" i="2" s="1"/>
  <c r="AO473" i="2"/>
  <c r="AP473" i="2" s="1"/>
  <c r="AG473" i="2" a="1"/>
  <c r="AG473" i="2" s="1"/>
  <c r="AH473" i="2" s="1"/>
  <c r="AD473" i="2" a="1"/>
  <c r="AD473" i="2" s="1"/>
  <c r="AE473" i="2" s="1"/>
  <c r="AA473" i="2" a="1"/>
  <c r="AA473" i="2" s="1"/>
  <c r="AB473" i="2" s="1"/>
  <c r="X473" i="2" a="1"/>
  <c r="X473" i="2" s="1"/>
  <c r="Y473" i="2" s="1"/>
  <c r="AO472" i="2"/>
  <c r="AG472" i="2" a="1"/>
  <c r="AG472" i="2" s="1"/>
  <c r="AH472" i="2" s="1"/>
  <c r="AD472" i="2" a="1"/>
  <c r="AD472" i="2" s="1"/>
  <c r="AE472" i="2" s="1"/>
  <c r="AA472" i="2" a="1"/>
  <c r="AA472" i="2" s="1"/>
  <c r="AB472" i="2" s="1"/>
  <c r="X472" i="2" a="1"/>
  <c r="X472" i="2" s="1"/>
  <c r="Y472" i="2" s="1"/>
  <c r="AO471" i="2"/>
  <c r="AG471" i="2" a="1"/>
  <c r="AG471" i="2" s="1"/>
  <c r="AH471" i="2" s="1"/>
  <c r="AD471" i="2" a="1"/>
  <c r="AD471" i="2" s="1"/>
  <c r="AE471" i="2" s="1"/>
  <c r="AA471" i="2" a="1"/>
  <c r="AA471" i="2" s="1"/>
  <c r="AB471" i="2" s="1"/>
  <c r="X471" i="2" a="1"/>
  <c r="X471" i="2" s="1"/>
  <c r="Y471" i="2" s="1"/>
  <c r="AO470" i="2"/>
  <c r="AG470" i="2" a="1"/>
  <c r="AG470" i="2" s="1"/>
  <c r="AH470" i="2" s="1"/>
  <c r="AD470" i="2" a="1"/>
  <c r="AD470" i="2" s="1"/>
  <c r="AE470" i="2" s="1"/>
  <c r="AA470" i="2" a="1"/>
  <c r="AA470" i="2" s="1"/>
  <c r="AB470" i="2" s="1"/>
  <c r="X470" i="2" a="1"/>
  <c r="X470" i="2" s="1"/>
  <c r="Y470" i="2" s="1"/>
  <c r="AO469" i="2"/>
  <c r="AG469" i="2" a="1"/>
  <c r="AG469" i="2" s="1"/>
  <c r="AH469" i="2" s="1"/>
  <c r="AD469" i="2" a="1"/>
  <c r="AD469" i="2" s="1"/>
  <c r="AE469" i="2" s="1"/>
  <c r="AA469" i="2" a="1"/>
  <c r="AA469" i="2" s="1"/>
  <c r="AB469" i="2" s="1"/>
  <c r="X469" i="2" a="1"/>
  <c r="X469" i="2" s="1"/>
  <c r="Y469" i="2" s="1"/>
  <c r="AO468" i="2"/>
  <c r="AG468" i="2" a="1"/>
  <c r="AG468" i="2" s="1"/>
  <c r="AH468" i="2" s="1"/>
  <c r="AD468" i="2" a="1"/>
  <c r="AD468" i="2" s="1"/>
  <c r="AE468" i="2" s="1"/>
  <c r="AA468" i="2" a="1"/>
  <c r="AA468" i="2" s="1"/>
  <c r="AB468" i="2" s="1"/>
  <c r="X468" i="2" a="1"/>
  <c r="X468" i="2" s="1"/>
  <c r="Y468" i="2" s="1"/>
  <c r="AO467" i="2"/>
  <c r="AG467" i="2" a="1"/>
  <c r="AG467" i="2" s="1"/>
  <c r="AH467" i="2" s="1"/>
  <c r="AD467" i="2" a="1"/>
  <c r="AD467" i="2" s="1"/>
  <c r="AE467" i="2" s="1"/>
  <c r="AA467" i="2" a="1"/>
  <c r="AA467" i="2" s="1"/>
  <c r="AB467" i="2" s="1"/>
  <c r="X467" i="2" a="1"/>
  <c r="X467" i="2" s="1"/>
  <c r="Y467" i="2" s="1"/>
  <c r="AO466" i="2"/>
  <c r="AG466" i="2" a="1"/>
  <c r="AG466" i="2" s="1"/>
  <c r="AH466" i="2" s="1"/>
  <c r="AD466" i="2" a="1"/>
  <c r="AD466" i="2" s="1"/>
  <c r="AE466" i="2" s="1"/>
  <c r="AA466" i="2" a="1"/>
  <c r="AA466" i="2" s="1"/>
  <c r="AB466" i="2" s="1"/>
  <c r="X466" i="2" a="1"/>
  <c r="X466" i="2" s="1"/>
  <c r="Y466" i="2" s="1"/>
  <c r="AO465" i="2"/>
  <c r="AP465" i="2" s="1"/>
  <c r="AG465" i="2" a="1"/>
  <c r="AG465" i="2" s="1"/>
  <c r="AH465" i="2" s="1"/>
  <c r="AD465" i="2" a="1"/>
  <c r="AD465" i="2" s="1"/>
  <c r="AE465" i="2" s="1"/>
  <c r="AA465" i="2" a="1"/>
  <c r="AA465" i="2" s="1"/>
  <c r="AB465" i="2" s="1"/>
  <c r="X465" i="2" a="1"/>
  <c r="X465" i="2" s="1"/>
  <c r="Y465" i="2" s="1"/>
  <c r="AO464" i="2"/>
  <c r="AG464" i="2" a="1"/>
  <c r="AG464" i="2" s="1"/>
  <c r="AH464" i="2" s="1"/>
  <c r="AD464" i="2" a="1"/>
  <c r="AD464" i="2" s="1"/>
  <c r="AE464" i="2" s="1"/>
  <c r="AA464" i="2" a="1"/>
  <c r="AA464" i="2" s="1"/>
  <c r="AB464" i="2" s="1"/>
  <c r="X464" i="2" a="1"/>
  <c r="X464" i="2" s="1"/>
  <c r="Y464" i="2" s="1"/>
  <c r="AO463" i="2"/>
  <c r="AG463" i="2" a="1"/>
  <c r="AG463" i="2" s="1"/>
  <c r="AH463" i="2" s="1"/>
  <c r="AD463" i="2" a="1"/>
  <c r="AD463" i="2" s="1"/>
  <c r="AE463" i="2" s="1"/>
  <c r="AA463" i="2" a="1"/>
  <c r="AA463" i="2" s="1"/>
  <c r="AB463" i="2" s="1"/>
  <c r="X463" i="2" a="1"/>
  <c r="X463" i="2" s="1"/>
  <c r="Y463" i="2" s="1"/>
  <c r="AO462" i="2"/>
  <c r="AG462" i="2" a="1"/>
  <c r="AG462" i="2" s="1"/>
  <c r="AH462" i="2" s="1"/>
  <c r="AD462" i="2" a="1"/>
  <c r="AD462" i="2" s="1"/>
  <c r="AE462" i="2" s="1"/>
  <c r="AA462" i="2" a="1"/>
  <c r="AA462" i="2" s="1"/>
  <c r="AB462" i="2" s="1"/>
  <c r="X462" i="2" a="1"/>
  <c r="X462" i="2" s="1"/>
  <c r="Y462" i="2" s="1"/>
  <c r="AO461" i="2"/>
  <c r="AG461" i="2" a="1"/>
  <c r="AG461" i="2" s="1"/>
  <c r="AH461" i="2" s="1"/>
  <c r="AD461" i="2" a="1"/>
  <c r="AD461" i="2" s="1"/>
  <c r="AE461" i="2" s="1"/>
  <c r="AA461" i="2" a="1"/>
  <c r="AA461" i="2" s="1"/>
  <c r="AB461" i="2" s="1"/>
  <c r="X461" i="2" a="1"/>
  <c r="X461" i="2" s="1"/>
  <c r="Y461" i="2" s="1"/>
  <c r="AO460" i="2"/>
  <c r="AG460" i="2" a="1"/>
  <c r="AG460" i="2" s="1"/>
  <c r="AH460" i="2" s="1"/>
  <c r="AD460" i="2" a="1"/>
  <c r="AD460" i="2" s="1"/>
  <c r="AE460" i="2" s="1"/>
  <c r="AA460" i="2" a="1"/>
  <c r="AA460" i="2" s="1"/>
  <c r="AB460" i="2" s="1"/>
  <c r="X460" i="2" a="1"/>
  <c r="X460" i="2" s="1"/>
  <c r="Y460" i="2" s="1"/>
  <c r="AO459" i="2"/>
  <c r="AG459" i="2" a="1"/>
  <c r="AG459" i="2" s="1"/>
  <c r="AH459" i="2" s="1"/>
  <c r="AD459" i="2" a="1"/>
  <c r="AD459" i="2" s="1"/>
  <c r="AE459" i="2" s="1"/>
  <c r="AA459" i="2" a="1"/>
  <c r="AA459" i="2" s="1"/>
  <c r="AB459" i="2" s="1"/>
  <c r="X459" i="2" a="1"/>
  <c r="X459" i="2" s="1"/>
  <c r="Y459" i="2" s="1"/>
  <c r="AG458" i="2" a="1"/>
  <c r="AG458" i="2" s="1"/>
  <c r="AH458" i="2" s="1"/>
  <c r="AD458" i="2" a="1"/>
  <c r="AD458" i="2" s="1"/>
  <c r="AE458" i="2" s="1"/>
  <c r="AA458" i="2" a="1"/>
  <c r="AA458" i="2" s="1"/>
  <c r="AB458" i="2" s="1"/>
  <c r="X458" i="2" a="1"/>
  <c r="X458" i="2" s="1"/>
  <c r="Y458" i="2" s="1"/>
  <c r="AO457" i="2"/>
  <c r="AG457" i="2" a="1"/>
  <c r="AG457" i="2" s="1"/>
  <c r="AH457" i="2" s="1"/>
  <c r="AD457" i="2" a="1"/>
  <c r="AD457" i="2" s="1"/>
  <c r="AE457" i="2" s="1"/>
  <c r="AA457" i="2" a="1"/>
  <c r="AA457" i="2" s="1"/>
  <c r="AB457" i="2" s="1"/>
  <c r="X457" i="2" a="1"/>
  <c r="X457" i="2" s="1"/>
  <c r="Y457" i="2" s="1"/>
  <c r="AO456" i="2"/>
  <c r="AG456" i="2" a="1"/>
  <c r="AG456" i="2" s="1"/>
  <c r="AH456" i="2" s="1"/>
  <c r="AD456" i="2" a="1"/>
  <c r="AD456" i="2" s="1"/>
  <c r="AE456" i="2" s="1"/>
  <c r="AA456" i="2" a="1"/>
  <c r="AA456" i="2" s="1"/>
  <c r="AB456" i="2" s="1"/>
  <c r="X456" i="2" a="1"/>
  <c r="X456" i="2" s="1"/>
  <c r="Y456" i="2" s="1"/>
  <c r="AO455" i="2"/>
  <c r="AG455" i="2" a="1"/>
  <c r="AG455" i="2" s="1"/>
  <c r="AH455" i="2" s="1"/>
  <c r="AD455" i="2" a="1"/>
  <c r="AD455" i="2" s="1"/>
  <c r="AE455" i="2" s="1"/>
  <c r="AA455" i="2" a="1"/>
  <c r="AA455" i="2" s="1"/>
  <c r="AB455" i="2" s="1"/>
  <c r="X455" i="2" a="1"/>
  <c r="X455" i="2" s="1"/>
  <c r="Y455" i="2" s="1"/>
  <c r="AO454" i="2"/>
  <c r="AG454" i="2" a="1"/>
  <c r="AG454" i="2" s="1"/>
  <c r="AH454" i="2" s="1"/>
  <c r="AD454" i="2" a="1"/>
  <c r="AD454" i="2" s="1"/>
  <c r="AE454" i="2" s="1"/>
  <c r="AA454" i="2" a="1"/>
  <c r="AA454" i="2" s="1"/>
  <c r="AB454" i="2" s="1"/>
  <c r="X454" i="2" a="1"/>
  <c r="X454" i="2" s="1"/>
  <c r="Y454" i="2" s="1"/>
  <c r="AO453" i="2"/>
  <c r="AG453" i="2" a="1"/>
  <c r="AG453" i="2" s="1"/>
  <c r="AH453" i="2" s="1"/>
  <c r="AD453" i="2" a="1"/>
  <c r="AD453" i="2" s="1"/>
  <c r="AE453" i="2" s="1"/>
  <c r="AA453" i="2" a="1"/>
  <c r="AA453" i="2" s="1"/>
  <c r="AB453" i="2" s="1"/>
  <c r="X453" i="2" a="1"/>
  <c r="X453" i="2" s="1"/>
  <c r="Y453" i="2" s="1"/>
  <c r="AO452" i="2"/>
  <c r="AG452" i="2" a="1"/>
  <c r="AG452" i="2" s="1"/>
  <c r="AH452" i="2" s="1"/>
  <c r="AD452" i="2" a="1"/>
  <c r="AD452" i="2" s="1"/>
  <c r="AE452" i="2" s="1"/>
  <c r="AA452" i="2" a="1"/>
  <c r="AA452" i="2" s="1"/>
  <c r="AB452" i="2" s="1"/>
  <c r="X452" i="2" a="1"/>
  <c r="X452" i="2" s="1"/>
  <c r="Y452" i="2" s="1"/>
  <c r="AO451" i="2"/>
  <c r="AG451" i="2" a="1"/>
  <c r="AG451" i="2" s="1"/>
  <c r="AH451" i="2" s="1"/>
  <c r="AD451" i="2" a="1"/>
  <c r="AD451" i="2" s="1"/>
  <c r="AE451" i="2" s="1"/>
  <c r="AA451" i="2" a="1"/>
  <c r="AA451" i="2" s="1"/>
  <c r="AB451" i="2" s="1"/>
  <c r="X451" i="2" a="1"/>
  <c r="X451" i="2" s="1"/>
  <c r="Y451" i="2" s="1"/>
  <c r="AO450" i="2"/>
  <c r="AG450" i="2" a="1"/>
  <c r="AG450" i="2" s="1"/>
  <c r="AH450" i="2" s="1"/>
  <c r="AD450" i="2" a="1"/>
  <c r="AD450" i="2" s="1"/>
  <c r="AE450" i="2" s="1"/>
  <c r="AA450" i="2" a="1"/>
  <c r="AA450" i="2" s="1"/>
  <c r="AB450" i="2" s="1"/>
  <c r="X450" i="2" a="1"/>
  <c r="X450" i="2" s="1"/>
  <c r="Y450" i="2" s="1"/>
  <c r="AO449" i="2"/>
  <c r="AG449" i="2" a="1"/>
  <c r="AG449" i="2" s="1"/>
  <c r="AH449" i="2" s="1"/>
  <c r="AD449" i="2" a="1"/>
  <c r="AD449" i="2" s="1"/>
  <c r="AE449" i="2" s="1"/>
  <c r="AA449" i="2" a="1"/>
  <c r="AA449" i="2" s="1"/>
  <c r="AB449" i="2" s="1"/>
  <c r="X449" i="2" a="1"/>
  <c r="X449" i="2" s="1"/>
  <c r="Y449" i="2" s="1"/>
  <c r="AO448" i="2"/>
  <c r="AG448" i="2" a="1"/>
  <c r="AG448" i="2" s="1"/>
  <c r="AH448" i="2" s="1"/>
  <c r="AD448" i="2" a="1"/>
  <c r="AD448" i="2" s="1"/>
  <c r="AE448" i="2" s="1"/>
  <c r="AA448" i="2" a="1"/>
  <c r="AA448" i="2" s="1"/>
  <c r="AB448" i="2" s="1"/>
  <c r="X448" i="2" a="1"/>
  <c r="X448" i="2" s="1"/>
  <c r="Y448" i="2" s="1"/>
  <c r="AO447" i="2"/>
  <c r="AG447" i="2" a="1"/>
  <c r="AG447" i="2" s="1"/>
  <c r="AH447" i="2" s="1"/>
  <c r="AD447" i="2" a="1"/>
  <c r="AD447" i="2" s="1"/>
  <c r="AE447" i="2" s="1"/>
  <c r="AA447" i="2" a="1"/>
  <c r="AA447" i="2" s="1"/>
  <c r="AB447" i="2" s="1"/>
  <c r="X447" i="2" a="1"/>
  <c r="X447" i="2" s="1"/>
  <c r="Y447" i="2" s="1"/>
  <c r="AO446" i="2"/>
  <c r="AG446" i="2" a="1"/>
  <c r="AG446" i="2" s="1"/>
  <c r="AH446" i="2" s="1"/>
  <c r="AD446" i="2" a="1"/>
  <c r="AD446" i="2" s="1"/>
  <c r="AE446" i="2" s="1"/>
  <c r="AA446" i="2" a="1"/>
  <c r="AA446" i="2" s="1"/>
  <c r="AB446" i="2" s="1"/>
  <c r="X446" i="2" a="1"/>
  <c r="X446" i="2" s="1"/>
  <c r="Y446" i="2" s="1"/>
  <c r="AO445" i="2"/>
  <c r="AG445" i="2" a="1"/>
  <c r="AG445" i="2" s="1"/>
  <c r="AH445" i="2" s="1"/>
  <c r="AD445" i="2" a="1"/>
  <c r="AD445" i="2" s="1"/>
  <c r="AE445" i="2" s="1"/>
  <c r="AA445" i="2" a="1"/>
  <c r="AA445" i="2" s="1"/>
  <c r="AB445" i="2" s="1"/>
  <c r="X445" i="2" a="1"/>
  <c r="X445" i="2" s="1"/>
  <c r="Y445" i="2" s="1"/>
  <c r="AO444" i="2"/>
  <c r="AG444" i="2" a="1"/>
  <c r="AG444" i="2" s="1"/>
  <c r="AH444" i="2" s="1"/>
  <c r="AD444" i="2" a="1"/>
  <c r="AD444" i="2" s="1"/>
  <c r="AE444" i="2" s="1"/>
  <c r="AA444" i="2" a="1"/>
  <c r="AA444" i="2" s="1"/>
  <c r="AB444" i="2" s="1"/>
  <c r="X444" i="2" a="1"/>
  <c r="X444" i="2" s="1"/>
  <c r="Y444" i="2" s="1"/>
  <c r="AO443" i="2"/>
  <c r="AG443" i="2" a="1"/>
  <c r="AG443" i="2" s="1"/>
  <c r="AH443" i="2" s="1"/>
  <c r="AD443" i="2" a="1"/>
  <c r="AD443" i="2" s="1"/>
  <c r="AE443" i="2" s="1"/>
  <c r="AA443" i="2" a="1"/>
  <c r="AA443" i="2" s="1"/>
  <c r="AB443" i="2" s="1"/>
  <c r="X443" i="2" a="1"/>
  <c r="X443" i="2" s="1"/>
  <c r="Y443" i="2" s="1"/>
  <c r="AO442" i="2"/>
  <c r="AG442" i="2" a="1"/>
  <c r="AG442" i="2" s="1"/>
  <c r="AH442" i="2" s="1"/>
  <c r="AD442" i="2" a="1"/>
  <c r="AD442" i="2" s="1"/>
  <c r="AE442" i="2" s="1"/>
  <c r="AA442" i="2" a="1"/>
  <c r="AA442" i="2" s="1"/>
  <c r="AB442" i="2" s="1"/>
  <c r="X442" i="2" a="1"/>
  <c r="X442" i="2" s="1"/>
  <c r="Y442" i="2" s="1"/>
  <c r="AO441" i="2"/>
  <c r="AG441" i="2" a="1"/>
  <c r="AG441" i="2" s="1"/>
  <c r="AH441" i="2" s="1"/>
  <c r="AD441" i="2" a="1"/>
  <c r="AD441" i="2" s="1"/>
  <c r="AE441" i="2" s="1"/>
  <c r="AA441" i="2" a="1"/>
  <c r="AA441" i="2" s="1"/>
  <c r="AB441" i="2" s="1"/>
  <c r="X441" i="2" a="1"/>
  <c r="X441" i="2" s="1"/>
  <c r="Y441" i="2" s="1"/>
  <c r="AO440" i="2"/>
  <c r="AG440" i="2" a="1"/>
  <c r="AG440" i="2" s="1"/>
  <c r="AH440" i="2" s="1"/>
  <c r="AD440" i="2" a="1"/>
  <c r="AD440" i="2" s="1"/>
  <c r="AE440" i="2" s="1"/>
  <c r="AA440" i="2" a="1"/>
  <c r="AA440" i="2" s="1"/>
  <c r="AB440" i="2" s="1"/>
  <c r="X440" i="2" a="1"/>
  <c r="X440" i="2" s="1"/>
  <c r="Y440" i="2" s="1"/>
  <c r="AO439" i="2"/>
  <c r="AG439" i="2" a="1"/>
  <c r="AG439" i="2" s="1"/>
  <c r="AH439" i="2" s="1"/>
  <c r="AD439" i="2" a="1"/>
  <c r="AD439" i="2" s="1"/>
  <c r="AE439" i="2" s="1"/>
  <c r="AA439" i="2" a="1"/>
  <c r="AA439" i="2" s="1"/>
  <c r="AB439" i="2" s="1"/>
  <c r="X439" i="2" a="1"/>
  <c r="X439" i="2" s="1"/>
  <c r="Y439" i="2" s="1"/>
  <c r="AO438" i="2"/>
  <c r="AG438" i="2" a="1"/>
  <c r="AG438" i="2" s="1"/>
  <c r="AH438" i="2" s="1"/>
  <c r="AD438" i="2" a="1"/>
  <c r="AD438" i="2" s="1"/>
  <c r="AE438" i="2" s="1"/>
  <c r="AA438" i="2" a="1"/>
  <c r="AA438" i="2" s="1"/>
  <c r="AB438" i="2" s="1"/>
  <c r="X438" i="2" a="1"/>
  <c r="X438" i="2" s="1"/>
  <c r="Y438" i="2" s="1"/>
  <c r="AO437" i="2"/>
  <c r="AG437" i="2" a="1"/>
  <c r="AG437" i="2" s="1"/>
  <c r="AH437" i="2" s="1"/>
  <c r="AD437" i="2" a="1"/>
  <c r="AD437" i="2" s="1"/>
  <c r="AE437" i="2" s="1"/>
  <c r="AA437" i="2" a="1"/>
  <c r="AA437" i="2" s="1"/>
  <c r="AB437" i="2" s="1"/>
  <c r="X437" i="2" a="1"/>
  <c r="X437" i="2" s="1"/>
  <c r="Y437" i="2" s="1"/>
  <c r="AO436" i="2"/>
  <c r="AG436" i="2" a="1"/>
  <c r="AG436" i="2" s="1"/>
  <c r="AH436" i="2" s="1"/>
  <c r="AD436" i="2" a="1"/>
  <c r="AD436" i="2" s="1"/>
  <c r="AE436" i="2" s="1"/>
  <c r="AA436" i="2" a="1"/>
  <c r="AA436" i="2" s="1"/>
  <c r="AB436" i="2" s="1"/>
  <c r="X436" i="2" a="1"/>
  <c r="X436" i="2" s="1"/>
  <c r="Y436" i="2" s="1"/>
  <c r="AO435" i="2"/>
  <c r="AG435" i="2" a="1"/>
  <c r="AG435" i="2" s="1"/>
  <c r="AH435" i="2" s="1"/>
  <c r="AD435" i="2" a="1"/>
  <c r="AD435" i="2" s="1"/>
  <c r="AE435" i="2" s="1"/>
  <c r="AA435" i="2" a="1"/>
  <c r="AA435" i="2" s="1"/>
  <c r="AB435" i="2" s="1"/>
  <c r="X435" i="2" a="1"/>
  <c r="X435" i="2" s="1"/>
  <c r="Y435" i="2" s="1"/>
  <c r="AO434" i="2"/>
  <c r="AG434" i="2" a="1"/>
  <c r="AG434" i="2" s="1"/>
  <c r="AH434" i="2" s="1"/>
  <c r="AD434" i="2" a="1"/>
  <c r="AD434" i="2" s="1"/>
  <c r="AE434" i="2" s="1"/>
  <c r="AA434" i="2" a="1"/>
  <c r="AA434" i="2" s="1"/>
  <c r="AB434" i="2" s="1"/>
  <c r="X434" i="2" a="1"/>
  <c r="X434" i="2" s="1"/>
  <c r="Y434" i="2" s="1"/>
  <c r="AO433" i="2"/>
  <c r="AG433" i="2" a="1"/>
  <c r="AG433" i="2" s="1"/>
  <c r="AH433" i="2" s="1"/>
  <c r="AD433" i="2" a="1"/>
  <c r="AD433" i="2" s="1"/>
  <c r="AE433" i="2" s="1"/>
  <c r="AA433" i="2" a="1"/>
  <c r="AA433" i="2" s="1"/>
  <c r="AB433" i="2" s="1"/>
  <c r="X433" i="2" a="1"/>
  <c r="X433" i="2" s="1"/>
  <c r="Y433" i="2" s="1"/>
  <c r="AO432" i="2"/>
  <c r="AG432" i="2" a="1"/>
  <c r="AG432" i="2" s="1"/>
  <c r="AH432" i="2" s="1"/>
  <c r="AD432" i="2" a="1"/>
  <c r="AD432" i="2" s="1"/>
  <c r="AE432" i="2" s="1"/>
  <c r="AA432" i="2" a="1"/>
  <c r="AA432" i="2" s="1"/>
  <c r="AB432" i="2" s="1"/>
  <c r="X432" i="2" a="1"/>
  <c r="X432" i="2" s="1"/>
  <c r="Y432" i="2" s="1"/>
  <c r="AO431" i="2"/>
  <c r="AG431" i="2" a="1"/>
  <c r="AG431" i="2" s="1"/>
  <c r="AH431" i="2" s="1"/>
  <c r="AD431" i="2" a="1"/>
  <c r="AD431" i="2" s="1"/>
  <c r="AE431" i="2" s="1"/>
  <c r="AA431" i="2" a="1"/>
  <c r="AA431" i="2" s="1"/>
  <c r="AB431" i="2" s="1"/>
  <c r="X431" i="2" a="1"/>
  <c r="X431" i="2" s="1"/>
  <c r="Y431" i="2" s="1"/>
  <c r="AO430" i="2"/>
  <c r="AG430" i="2" a="1"/>
  <c r="AG430" i="2" s="1"/>
  <c r="AH430" i="2" s="1"/>
  <c r="AD430" i="2" a="1"/>
  <c r="AD430" i="2" s="1"/>
  <c r="AE430" i="2" s="1"/>
  <c r="AA430" i="2" a="1"/>
  <c r="AA430" i="2" s="1"/>
  <c r="AB430" i="2" s="1"/>
  <c r="X430" i="2" a="1"/>
  <c r="X430" i="2" s="1"/>
  <c r="Y430" i="2" s="1"/>
  <c r="AO429" i="2"/>
  <c r="AG429" i="2" a="1"/>
  <c r="AG429" i="2" s="1"/>
  <c r="AH429" i="2" s="1"/>
  <c r="AD429" i="2" a="1"/>
  <c r="AD429" i="2" s="1"/>
  <c r="AE429" i="2" s="1"/>
  <c r="AA429" i="2" a="1"/>
  <c r="AA429" i="2" s="1"/>
  <c r="AB429" i="2" s="1"/>
  <c r="X429" i="2" a="1"/>
  <c r="X429" i="2" s="1"/>
  <c r="Y429" i="2" s="1"/>
  <c r="AO428" i="2"/>
  <c r="AG428" i="2" a="1"/>
  <c r="AG428" i="2" s="1"/>
  <c r="AH428" i="2" s="1"/>
  <c r="AD428" i="2" a="1"/>
  <c r="AD428" i="2" s="1"/>
  <c r="AE428" i="2" s="1"/>
  <c r="AA428" i="2" a="1"/>
  <c r="AA428" i="2" s="1"/>
  <c r="AB428" i="2" s="1"/>
  <c r="X428" i="2" a="1"/>
  <c r="X428" i="2" s="1"/>
  <c r="Y428" i="2" s="1"/>
  <c r="AO427" i="2"/>
  <c r="AG427" i="2" a="1"/>
  <c r="AG427" i="2" s="1"/>
  <c r="AH427" i="2" s="1"/>
  <c r="AD427" i="2" a="1"/>
  <c r="AD427" i="2" s="1"/>
  <c r="AE427" i="2" s="1"/>
  <c r="AA427" i="2" a="1"/>
  <c r="AA427" i="2" s="1"/>
  <c r="AB427" i="2" s="1"/>
  <c r="X427" i="2" a="1"/>
  <c r="X427" i="2" s="1"/>
  <c r="Y427" i="2" s="1"/>
  <c r="AO426" i="2"/>
  <c r="AG426" i="2" a="1"/>
  <c r="AG426" i="2" s="1"/>
  <c r="AH426" i="2" s="1"/>
  <c r="AD426" i="2" a="1"/>
  <c r="AD426" i="2" s="1"/>
  <c r="AE426" i="2" s="1"/>
  <c r="AA426" i="2" a="1"/>
  <c r="AA426" i="2" s="1"/>
  <c r="AB426" i="2" s="1"/>
  <c r="X426" i="2" a="1"/>
  <c r="X426" i="2" s="1"/>
  <c r="Y426" i="2" s="1"/>
  <c r="AO425" i="2"/>
  <c r="AG425" i="2" a="1"/>
  <c r="AG425" i="2" s="1"/>
  <c r="AH425" i="2" s="1"/>
  <c r="AD425" i="2" a="1"/>
  <c r="AD425" i="2" s="1"/>
  <c r="AE425" i="2" s="1"/>
  <c r="AA425" i="2" a="1"/>
  <c r="AA425" i="2" s="1"/>
  <c r="AB425" i="2" s="1"/>
  <c r="X425" i="2" a="1"/>
  <c r="X425" i="2" s="1"/>
  <c r="Y425" i="2" s="1"/>
  <c r="AO424" i="2"/>
  <c r="AG424" i="2" a="1"/>
  <c r="AG424" i="2" s="1"/>
  <c r="AH424" i="2" s="1"/>
  <c r="AD424" i="2" a="1"/>
  <c r="AD424" i="2" s="1"/>
  <c r="AE424" i="2" s="1"/>
  <c r="AA424" i="2" a="1"/>
  <c r="AA424" i="2" s="1"/>
  <c r="AB424" i="2" s="1"/>
  <c r="X424" i="2" a="1"/>
  <c r="X424" i="2" s="1"/>
  <c r="Y424" i="2" s="1"/>
  <c r="AO423" i="2"/>
  <c r="AG423" i="2" a="1"/>
  <c r="AG423" i="2" s="1"/>
  <c r="AH423" i="2" s="1"/>
  <c r="AD423" i="2" a="1"/>
  <c r="AD423" i="2" s="1"/>
  <c r="AE423" i="2" s="1"/>
  <c r="AA423" i="2" a="1"/>
  <c r="AA423" i="2" s="1"/>
  <c r="AB423" i="2" s="1"/>
  <c r="X423" i="2" a="1"/>
  <c r="X423" i="2" s="1"/>
  <c r="Y423" i="2" s="1"/>
  <c r="AO422" i="2"/>
  <c r="AG422" i="2" a="1"/>
  <c r="AG422" i="2" s="1"/>
  <c r="AH422" i="2" s="1"/>
  <c r="AD422" i="2" a="1"/>
  <c r="AD422" i="2" s="1"/>
  <c r="AE422" i="2" s="1"/>
  <c r="AA422" i="2" a="1"/>
  <c r="AA422" i="2" s="1"/>
  <c r="AB422" i="2" s="1"/>
  <c r="X422" i="2" a="1"/>
  <c r="X422" i="2" s="1"/>
  <c r="Y422" i="2" s="1"/>
  <c r="AO421" i="2"/>
  <c r="AG421" i="2" a="1"/>
  <c r="AG421" i="2" s="1"/>
  <c r="AH421" i="2" s="1"/>
  <c r="AD421" i="2" a="1"/>
  <c r="AD421" i="2" s="1"/>
  <c r="AE421" i="2" s="1"/>
  <c r="AA421" i="2" a="1"/>
  <c r="AA421" i="2" s="1"/>
  <c r="AB421" i="2" s="1"/>
  <c r="X421" i="2" a="1"/>
  <c r="X421" i="2" s="1"/>
  <c r="Y421" i="2" s="1"/>
  <c r="AO420" i="2"/>
  <c r="AG420" i="2" a="1"/>
  <c r="AG420" i="2" s="1"/>
  <c r="AH420" i="2" s="1"/>
  <c r="AD420" i="2" a="1"/>
  <c r="AD420" i="2" s="1"/>
  <c r="AE420" i="2" s="1"/>
  <c r="AA420" i="2" a="1"/>
  <c r="AA420" i="2" s="1"/>
  <c r="AB420" i="2" s="1"/>
  <c r="X420" i="2" a="1"/>
  <c r="X420" i="2" s="1"/>
  <c r="Y420" i="2" s="1"/>
  <c r="AO419" i="2"/>
  <c r="AG419" i="2" a="1"/>
  <c r="AG419" i="2" s="1"/>
  <c r="AH419" i="2" s="1"/>
  <c r="AD419" i="2" a="1"/>
  <c r="AD419" i="2" s="1"/>
  <c r="AE419" i="2" s="1"/>
  <c r="AA419" i="2" a="1"/>
  <c r="AA419" i="2" s="1"/>
  <c r="AB419" i="2" s="1"/>
  <c r="X419" i="2" a="1"/>
  <c r="X419" i="2" s="1"/>
  <c r="Y419" i="2" s="1"/>
  <c r="AO418" i="2"/>
  <c r="AG418" i="2" a="1"/>
  <c r="AG418" i="2" s="1"/>
  <c r="AH418" i="2" s="1"/>
  <c r="AD418" i="2" a="1"/>
  <c r="AD418" i="2" s="1"/>
  <c r="AE418" i="2" s="1"/>
  <c r="AA418" i="2" a="1"/>
  <c r="AA418" i="2" s="1"/>
  <c r="AB418" i="2" s="1"/>
  <c r="X418" i="2" a="1"/>
  <c r="X418" i="2" s="1"/>
  <c r="Y418" i="2" s="1"/>
  <c r="AO417" i="2"/>
  <c r="AG417" i="2" a="1"/>
  <c r="AG417" i="2" s="1"/>
  <c r="AH417" i="2" s="1"/>
  <c r="AD417" i="2" a="1"/>
  <c r="AD417" i="2" s="1"/>
  <c r="AE417" i="2" s="1"/>
  <c r="AA417" i="2" a="1"/>
  <c r="AA417" i="2" s="1"/>
  <c r="AB417" i="2" s="1"/>
  <c r="X417" i="2" a="1"/>
  <c r="X417" i="2" s="1"/>
  <c r="Y417" i="2" s="1"/>
  <c r="AO416" i="2"/>
  <c r="AG416" i="2" a="1"/>
  <c r="AG416" i="2" s="1"/>
  <c r="AH416" i="2" s="1"/>
  <c r="AD416" i="2" a="1"/>
  <c r="AD416" i="2" s="1"/>
  <c r="AE416" i="2" s="1"/>
  <c r="AA416" i="2" a="1"/>
  <c r="AA416" i="2" s="1"/>
  <c r="AB416" i="2" s="1"/>
  <c r="X416" i="2" a="1"/>
  <c r="X416" i="2" s="1"/>
  <c r="Y416" i="2" s="1"/>
  <c r="AO415" i="2"/>
  <c r="AG415" i="2" a="1"/>
  <c r="AG415" i="2" s="1"/>
  <c r="AH415" i="2" s="1"/>
  <c r="AD415" i="2" a="1"/>
  <c r="AD415" i="2" s="1"/>
  <c r="AE415" i="2" s="1"/>
  <c r="AA415" i="2" a="1"/>
  <c r="AA415" i="2" s="1"/>
  <c r="AB415" i="2" s="1"/>
  <c r="X415" i="2" a="1"/>
  <c r="X415" i="2" s="1"/>
  <c r="Y415" i="2" s="1"/>
  <c r="AO414" i="2"/>
  <c r="AG414" i="2" a="1"/>
  <c r="AG414" i="2" s="1"/>
  <c r="AH414" i="2" s="1"/>
  <c r="AD414" i="2" a="1"/>
  <c r="AD414" i="2" s="1"/>
  <c r="AE414" i="2" s="1"/>
  <c r="AA414" i="2" a="1"/>
  <c r="AA414" i="2" s="1"/>
  <c r="AB414" i="2" s="1"/>
  <c r="X414" i="2" a="1"/>
  <c r="X414" i="2" s="1"/>
  <c r="Y414" i="2" s="1"/>
  <c r="AO413" i="2"/>
  <c r="AG413" i="2" a="1"/>
  <c r="AG413" i="2" s="1"/>
  <c r="AH413" i="2" s="1"/>
  <c r="AD413" i="2" a="1"/>
  <c r="AD413" i="2" s="1"/>
  <c r="AE413" i="2" s="1"/>
  <c r="AA413" i="2" a="1"/>
  <c r="AA413" i="2" s="1"/>
  <c r="AB413" i="2" s="1"/>
  <c r="X413" i="2" a="1"/>
  <c r="X413" i="2" s="1"/>
  <c r="Y413" i="2" s="1"/>
  <c r="AO412" i="2"/>
  <c r="AG412" i="2" a="1"/>
  <c r="AG412" i="2" s="1"/>
  <c r="AH412" i="2" s="1"/>
  <c r="AD412" i="2" a="1"/>
  <c r="AD412" i="2" s="1"/>
  <c r="AE412" i="2" s="1"/>
  <c r="AA412" i="2" a="1"/>
  <c r="AA412" i="2" s="1"/>
  <c r="AB412" i="2" s="1"/>
  <c r="X412" i="2" a="1"/>
  <c r="X412" i="2" s="1"/>
  <c r="Y412" i="2" s="1"/>
  <c r="AO411" i="2"/>
  <c r="AG411" i="2" a="1"/>
  <c r="AG411" i="2" s="1"/>
  <c r="AH411" i="2" s="1"/>
  <c r="AD411" i="2" a="1"/>
  <c r="AD411" i="2" s="1"/>
  <c r="AE411" i="2" s="1"/>
  <c r="AA411" i="2" a="1"/>
  <c r="AA411" i="2" s="1"/>
  <c r="AB411" i="2" s="1"/>
  <c r="X411" i="2" a="1"/>
  <c r="X411" i="2" s="1"/>
  <c r="Y411" i="2" s="1"/>
  <c r="AO410" i="2"/>
  <c r="AG410" i="2" a="1"/>
  <c r="AG410" i="2" s="1"/>
  <c r="AH410" i="2" s="1"/>
  <c r="AD410" i="2" a="1"/>
  <c r="AD410" i="2" s="1"/>
  <c r="AE410" i="2" s="1"/>
  <c r="AA410" i="2" a="1"/>
  <c r="AA410" i="2" s="1"/>
  <c r="AB410" i="2" s="1"/>
  <c r="X410" i="2" a="1"/>
  <c r="X410" i="2" s="1"/>
  <c r="Y410" i="2" s="1"/>
  <c r="AO409" i="2"/>
  <c r="AG409" i="2" a="1"/>
  <c r="AG409" i="2" s="1"/>
  <c r="AH409" i="2" s="1"/>
  <c r="AD409" i="2" a="1"/>
  <c r="AD409" i="2" s="1"/>
  <c r="AE409" i="2" s="1"/>
  <c r="AA409" i="2" a="1"/>
  <c r="AA409" i="2" s="1"/>
  <c r="AB409" i="2" s="1"/>
  <c r="X409" i="2" a="1"/>
  <c r="X409" i="2" s="1"/>
  <c r="Y409" i="2" s="1"/>
  <c r="AO408" i="2"/>
  <c r="AG408" i="2" a="1"/>
  <c r="AG408" i="2" s="1"/>
  <c r="AH408" i="2" s="1"/>
  <c r="AD408" i="2" a="1"/>
  <c r="AD408" i="2" s="1"/>
  <c r="AE408" i="2" s="1"/>
  <c r="AA408" i="2" a="1"/>
  <c r="AA408" i="2" s="1"/>
  <c r="AB408" i="2" s="1"/>
  <c r="X408" i="2" a="1"/>
  <c r="X408" i="2" s="1"/>
  <c r="Y408" i="2" s="1"/>
  <c r="AO407" i="2"/>
  <c r="AG407" i="2" a="1"/>
  <c r="AG407" i="2" s="1"/>
  <c r="AH407" i="2" s="1"/>
  <c r="AD407" i="2" a="1"/>
  <c r="AD407" i="2" s="1"/>
  <c r="AE407" i="2" s="1"/>
  <c r="AA407" i="2" a="1"/>
  <c r="AA407" i="2" s="1"/>
  <c r="AB407" i="2" s="1"/>
  <c r="X407" i="2" a="1"/>
  <c r="X407" i="2" s="1"/>
  <c r="Y407" i="2" s="1"/>
  <c r="AO406" i="2"/>
  <c r="AG406" i="2" a="1"/>
  <c r="AG406" i="2" s="1"/>
  <c r="AH406" i="2" s="1"/>
  <c r="AD406" i="2" a="1"/>
  <c r="AD406" i="2" s="1"/>
  <c r="AE406" i="2" s="1"/>
  <c r="AA406" i="2" a="1"/>
  <c r="AA406" i="2" s="1"/>
  <c r="AB406" i="2" s="1"/>
  <c r="X406" i="2" a="1"/>
  <c r="X406" i="2" s="1"/>
  <c r="Y406" i="2" s="1"/>
  <c r="AO405" i="2"/>
  <c r="AG405" i="2" a="1"/>
  <c r="AG405" i="2" s="1"/>
  <c r="AH405" i="2" s="1"/>
  <c r="AD405" i="2" a="1"/>
  <c r="AD405" i="2" s="1"/>
  <c r="AE405" i="2" s="1"/>
  <c r="AA405" i="2" a="1"/>
  <c r="AA405" i="2" s="1"/>
  <c r="AB405" i="2" s="1"/>
  <c r="X405" i="2" a="1"/>
  <c r="X405" i="2" s="1"/>
  <c r="Y405" i="2" s="1"/>
  <c r="AO404" i="2"/>
  <c r="AG404" i="2" a="1"/>
  <c r="AG404" i="2" s="1"/>
  <c r="AH404" i="2" s="1"/>
  <c r="AD404" i="2" a="1"/>
  <c r="AD404" i="2" s="1"/>
  <c r="AE404" i="2" s="1"/>
  <c r="AA404" i="2" a="1"/>
  <c r="AA404" i="2" s="1"/>
  <c r="AB404" i="2" s="1"/>
  <c r="X404" i="2" a="1"/>
  <c r="X404" i="2" s="1"/>
  <c r="Y404" i="2" s="1"/>
  <c r="AO403" i="2"/>
  <c r="AG403" i="2" a="1"/>
  <c r="AG403" i="2" s="1"/>
  <c r="AH403" i="2" s="1"/>
  <c r="AD403" i="2" a="1"/>
  <c r="AD403" i="2" s="1"/>
  <c r="AE403" i="2" s="1"/>
  <c r="AA403" i="2" a="1"/>
  <c r="AA403" i="2" s="1"/>
  <c r="AB403" i="2" s="1"/>
  <c r="X403" i="2" a="1"/>
  <c r="X403" i="2" s="1"/>
  <c r="Y403" i="2" s="1"/>
  <c r="AO402" i="2"/>
  <c r="AG402" i="2" a="1"/>
  <c r="AG402" i="2" s="1"/>
  <c r="AH402" i="2" s="1"/>
  <c r="AD402" i="2" a="1"/>
  <c r="AD402" i="2" s="1"/>
  <c r="AE402" i="2" s="1"/>
  <c r="AA402" i="2" a="1"/>
  <c r="AA402" i="2" s="1"/>
  <c r="AB402" i="2" s="1"/>
  <c r="X402" i="2" a="1"/>
  <c r="X402" i="2" s="1"/>
  <c r="Y402" i="2" s="1"/>
  <c r="AO401" i="2"/>
  <c r="AG401" i="2" a="1"/>
  <c r="AG401" i="2" s="1"/>
  <c r="AH401" i="2" s="1"/>
  <c r="AD401" i="2" a="1"/>
  <c r="AD401" i="2" s="1"/>
  <c r="AE401" i="2" s="1"/>
  <c r="AA401" i="2" a="1"/>
  <c r="AA401" i="2" s="1"/>
  <c r="AB401" i="2" s="1"/>
  <c r="X401" i="2" a="1"/>
  <c r="X401" i="2" s="1"/>
  <c r="Y401" i="2" s="1"/>
  <c r="AO400" i="2"/>
  <c r="AG400" i="2" a="1"/>
  <c r="AG400" i="2" s="1"/>
  <c r="AH400" i="2" s="1"/>
  <c r="AD400" i="2" a="1"/>
  <c r="AD400" i="2" s="1"/>
  <c r="AE400" i="2" s="1"/>
  <c r="AA400" i="2" a="1"/>
  <c r="AA400" i="2" s="1"/>
  <c r="AB400" i="2" s="1"/>
  <c r="X400" i="2" a="1"/>
  <c r="X400" i="2" s="1"/>
  <c r="Y400" i="2" s="1"/>
  <c r="AO399" i="2"/>
  <c r="AG399" i="2" a="1"/>
  <c r="AG399" i="2" s="1"/>
  <c r="AH399" i="2" s="1"/>
  <c r="AD399" i="2" a="1"/>
  <c r="AD399" i="2" s="1"/>
  <c r="AE399" i="2" s="1"/>
  <c r="AA399" i="2" a="1"/>
  <c r="AA399" i="2" s="1"/>
  <c r="AB399" i="2" s="1"/>
  <c r="X399" i="2" a="1"/>
  <c r="X399" i="2" s="1"/>
  <c r="Y399" i="2" s="1"/>
  <c r="AO398" i="2"/>
  <c r="AG398" i="2" a="1"/>
  <c r="AG398" i="2" s="1"/>
  <c r="AH398" i="2" s="1"/>
  <c r="AD398" i="2" a="1"/>
  <c r="AD398" i="2" s="1"/>
  <c r="AE398" i="2" s="1"/>
  <c r="AA398" i="2" a="1"/>
  <c r="AA398" i="2" s="1"/>
  <c r="AB398" i="2" s="1"/>
  <c r="X398" i="2" a="1"/>
  <c r="X398" i="2" s="1"/>
  <c r="Y398" i="2" s="1"/>
  <c r="AO397" i="2"/>
  <c r="AG397" i="2" a="1"/>
  <c r="AG397" i="2" s="1"/>
  <c r="AH397" i="2" s="1"/>
  <c r="AD397" i="2" a="1"/>
  <c r="AD397" i="2" s="1"/>
  <c r="AE397" i="2" s="1"/>
  <c r="AA397" i="2" a="1"/>
  <c r="AA397" i="2" s="1"/>
  <c r="AB397" i="2" s="1"/>
  <c r="X397" i="2" a="1"/>
  <c r="X397" i="2" s="1"/>
  <c r="Y397" i="2" s="1"/>
  <c r="AO396" i="2"/>
  <c r="AG396" i="2" a="1"/>
  <c r="AG396" i="2" s="1"/>
  <c r="AH396" i="2" s="1"/>
  <c r="AD396" i="2" a="1"/>
  <c r="AD396" i="2" s="1"/>
  <c r="AE396" i="2" s="1"/>
  <c r="AA396" i="2" a="1"/>
  <c r="AA396" i="2" s="1"/>
  <c r="AB396" i="2" s="1"/>
  <c r="X396" i="2" a="1"/>
  <c r="X396" i="2" s="1"/>
  <c r="Y396" i="2" s="1"/>
  <c r="AO395" i="2"/>
  <c r="AG395" i="2" a="1"/>
  <c r="AG395" i="2" s="1"/>
  <c r="AH395" i="2" s="1"/>
  <c r="AD395" i="2" a="1"/>
  <c r="AD395" i="2" s="1"/>
  <c r="AE395" i="2" s="1"/>
  <c r="AA395" i="2" a="1"/>
  <c r="AA395" i="2" s="1"/>
  <c r="AB395" i="2" s="1"/>
  <c r="X395" i="2" a="1"/>
  <c r="X395" i="2" s="1"/>
  <c r="Y395" i="2" s="1"/>
  <c r="AO394" i="2"/>
  <c r="AG394" i="2" a="1"/>
  <c r="AG394" i="2" s="1"/>
  <c r="AH394" i="2" s="1"/>
  <c r="AD394" i="2" a="1"/>
  <c r="AD394" i="2" s="1"/>
  <c r="AE394" i="2" s="1"/>
  <c r="AA394" i="2" a="1"/>
  <c r="AA394" i="2" s="1"/>
  <c r="AB394" i="2" s="1"/>
  <c r="X394" i="2" a="1"/>
  <c r="X394" i="2" s="1"/>
  <c r="Y394" i="2" s="1"/>
  <c r="AO393" i="2"/>
  <c r="AG393" i="2" a="1"/>
  <c r="AG393" i="2" s="1"/>
  <c r="AH393" i="2" s="1"/>
  <c r="AD393" i="2" a="1"/>
  <c r="AD393" i="2" s="1"/>
  <c r="AE393" i="2" s="1"/>
  <c r="AA393" i="2" a="1"/>
  <c r="AA393" i="2" s="1"/>
  <c r="AB393" i="2" s="1"/>
  <c r="X393" i="2" a="1"/>
  <c r="X393" i="2" s="1"/>
  <c r="Y393" i="2" s="1"/>
  <c r="AO392" i="2"/>
  <c r="AG392" i="2" a="1"/>
  <c r="AG392" i="2" s="1"/>
  <c r="AH392" i="2" s="1"/>
  <c r="AD392" i="2" a="1"/>
  <c r="AD392" i="2" s="1"/>
  <c r="AE392" i="2" s="1"/>
  <c r="AA392" i="2" a="1"/>
  <c r="AA392" i="2" s="1"/>
  <c r="AB392" i="2" s="1"/>
  <c r="X392" i="2" a="1"/>
  <c r="X392" i="2" s="1"/>
  <c r="Y392" i="2" s="1"/>
  <c r="AO391" i="2"/>
  <c r="AG391" i="2" a="1"/>
  <c r="AG391" i="2" s="1"/>
  <c r="AH391" i="2" s="1"/>
  <c r="AD391" i="2" a="1"/>
  <c r="AD391" i="2" s="1"/>
  <c r="AE391" i="2" s="1"/>
  <c r="AA391" i="2" a="1"/>
  <c r="AA391" i="2" s="1"/>
  <c r="AB391" i="2" s="1"/>
  <c r="X391" i="2" a="1"/>
  <c r="X391" i="2" s="1"/>
  <c r="Y391" i="2" s="1"/>
  <c r="AO390" i="2"/>
  <c r="AG390" i="2" a="1"/>
  <c r="AG390" i="2" s="1"/>
  <c r="AH390" i="2" s="1"/>
  <c r="AD390" i="2" a="1"/>
  <c r="AD390" i="2" s="1"/>
  <c r="AE390" i="2" s="1"/>
  <c r="AA390" i="2" a="1"/>
  <c r="AA390" i="2" s="1"/>
  <c r="AB390" i="2" s="1"/>
  <c r="X390" i="2" a="1"/>
  <c r="X390" i="2" s="1"/>
  <c r="Y390" i="2" s="1"/>
  <c r="AO389" i="2"/>
  <c r="AG389" i="2" a="1"/>
  <c r="AG389" i="2" s="1"/>
  <c r="AH389" i="2" s="1"/>
  <c r="AD389" i="2" a="1"/>
  <c r="AD389" i="2" s="1"/>
  <c r="AE389" i="2" s="1"/>
  <c r="AA389" i="2" a="1"/>
  <c r="AA389" i="2" s="1"/>
  <c r="AB389" i="2" s="1"/>
  <c r="X389" i="2" a="1"/>
  <c r="X389" i="2" s="1"/>
  <c r="Y389" i="2" s="1"/>
  <c r="AO388" i="2"/>
  <c r="AG388" i="2" a="1"/>
  <c r="AG388" i="2" s="1"/>
  <c r="AH388" i="2" s="1"/>
  <c r="AD388" i="2" a="1"/>
  <c r="AD388" i="2" s="1"/>
  <c r="AE388" i="2" s="1"/>
  <c r="AA388" i="2" a="1"/>
  <c r="AA388" i="2" s="1"/>
  <c r="AB388" i="2" s="1"/>
  <c r="X388" i="2" a="1"/>
  <c r="X388" i="2" s="1"/>
  <c r="Y388" i="2" s="1"/>
  <c r="AO387" i="2"/>
  <c r="AG387" i="2" a="1"/>
  <c r="AG387" i="2" s="1"/>
  <c r="AH387" i="2" s="1"/>
  <c r="AD387" i="2" a="1"/>
  <c r="AD387" i="2" s="1"/>
  <c r="AE387" i="2" s="1"/>
  <c r="AA387" i="2" a="1"/>
  <c r="AA387" i="2" s="1"/>
  <c r="AB387" i="2" s="1"/>
  <c r="X387" i="2" a="1"/>
  <c r="X387" i="2" s="1"/>
  <c r="Y387" i="2" s="1"/>
  <c r="AO386" i="2"/>
  <c r="AG386" i="2" a="1"/>
  <c r="AG386" i="2" s="1"/>
  <c r="AH386" i="2" s="1"/>
  <c r="AD386" i="2" a="1"/>
  <c r="AD386" i="2" s="1"/>
  <c r="AE386" i="2" s="1"/>
  <c r="AA386" i="2" a="1"/>
  <c r="AA386" i="2" s="1"/>
  <c r="AB386" i="2" s="1"/>
  <c r="X386" i="2" a="1"/>
  <c r="X386" i="2" s="1"/>
  <c r="Y386" i="2" s="1"/>
  <c r="AO385" i="2"/>
  <c r="AG385" i="2" a="1"/>
  <c r="AG385" i="2" s="1"/>
  <c r="AH385" i="2" s="1"/>
  <c r="AD385" i="2" a="1"/>
  <c r="AD385" i="2" s="1"/>
  <c r="AE385" i="2" s="1"/>
  <c r="AA385" i="2" a="1"/>
  <c r="AA385" i="2" s="1"/>
  <c r="AB385" i="2" s="1"/>
  <c r="X385" i="2" a="1"/>
  <c r="X385" i="2" s="1"/>
  <c r="Y385" i="2" s="1"/>
  <c r="AO384" i="2"/>
  <c r="AG384" i="2" a="1"/>
  <c r="AG384" i="2" s="1"/>
  <c r="AH384" i="2" s="1"/>
  <c r="AD384" i="2" a="1"/>
  <c r="AD384" i="2" s="1"/>
  <c r="AE384" i="2" s="1"/>
  <c r="AA384" i="2" a="1"/>
  <c r="AA384" i="2" s="1"/>
  <c r="AB384" i="2" s="1"/>
  <c r="X384" i="2" a="1"/>
  <c r="X384" i="2" s="1"/>
  <c r="Y384" i="2" s="1"/>
  <c r="AO383" i="2"/>
  <c r="AG383" i="2" a="1"/>
  <c r="AG383" i="2" s="1"/>
  <c r="AH383" i="2" s="1"/>
  <c r="AD383" i="2" a="1"/>
  <c r="AD383" i="2" s="1"/>
  <c r="AE383" i="2" s="1"/>
  <c r="AA383" i="2" a="1"/>
  <c r="AA383" i="2" s="1"/>
  <c r="AB383" i="2" s="1"/>
  <c r="X383" i="2" a="1"/>
  <c r="X383" i="2" s="1"/>
  <c r="Y383" i="2" s="1"/>
  <c r="AO382" i="2"/>
  <c r="AG382" i="2" a="1"/>
  <c r="AG382" i="2" s="1"/>
  <c r="AH382" i="2" s="1"/>
  <c r="AD382" i="2" a="1"/>
  <c r="AD382" i="2" s="1"/>
  <c r="AE382" i="2" s="1"/>
  <c r="AA382" i="2" a="1"/>
  <c r="AA382" i="2" s="1"/>
  <c r="AB382" i="2" s="1"/>
  <c r="X382" i="2" a="1"/>
  <c r="X382" i="2" s="1"/>
  <c r="Y382" i="2" s="1"/>
  <c r="AO381" i="2"/>
  <c r="AG381" i="2" a="1"/>
  <c r="AG381" i="2" s="1"/>
  <c r="AH381" i="2" s="1"/>
  <c r="AD381" i="2" a="1"/>
  <c r="AD381" i="2" s="1"/>
  <c r="AE381" i="2" s="1"/>
  <c r="AA381" i="2" a="1"/>
  <c r="AA381" i="2" s="1"/>
  <c r="AB381" i="2" s="1"/>
  <c r="X381" i="2" a="1"/>
  <c r="X381" i="2" s="1"/>
  <c r="Y381" i="2" s="1"/>
  <c r="AO380" i="2"/>
  <c r="AG380" i="2" a="1"/>
  <c r="AG380" i="2" s="1"/>
  <c r="AH380" i="2" s="1"/>
  <c r="AD380" i="2" a="1"/>
  <c r="AD380" i="2" s="1"/>
  <c r="AE380" i="2" s="1"/>
  <c r="AA380" i="2" a="1"/>
  <c r="AA380" i="2" s="1"/>
  <c r="AB380" i="2" s="1"/>
  <c r="X380" i="2" a="1"/>
  <c r="X380" i="2" s="1"/>
  <c r="Y380" i="2" s="1"/>
  <c r="AO379" i="2"/>
  <c r="AG379" i="2" a="1"/>
  <c r="AG379" i="2" s="1"/>
  <c r="AH379" i="2" s="1"/>
  <c r="AD379" i="2" a="1"/>
  <c r="AD379" i="2" s="1"/>
  <c r="AE379" i="2" s="1"/>
  <c r="AA379" i="2" a="1"/>
  <c r="AA379" i="2" s="1"/>
  <c r="AB379" i="2" s="1"/>
  <c r="X379" i="2" a="1"/>
  <c r="X379" i="2" s="1"/>
  <c r="Y379" i="2" s="1"/>
  <c r="AO378" i="2"/>
  <c r="AG378" i="2" a="1"/>
  <c r="AG378" i="2" s="1"/>
  <c r="AH378" i="2" s="1"/>
  <c r="AD378" i="2" a="1"/>
  <c r="AD378" i="2" s="1"/>
  <c r="AE378" i="2" s="1"/>
  <c r="AA378" i="2" a="1"/>
  <c r="AA378" i="2" s="1"/>
  <c r="AB378" i="2" s="1"/>
  <c r="X378" i="2" a="1"/>
  <c r="X378" i="2" s="1"/>
  <c r="Y378" i="2" s="1"/>
  <c r="AO377" i="2"/>
  <c r="AG377" i="2" a="1"/>
  <c r="AG377" i="2" s="1"/>
  <c r="AH377" i="2" s="1"/>
  <c r="AD377" i="2" a="1"/>
  <c r="AD377" i="2" s="1"/>
  <c r="AE377" i="2" s="1"/>
  <c r="AA377" i="2" a="1"/>
  <c r="AA377" i="2" s="1"/>
  <c r="AB377" i="2" s="1"/>
  <c r="X377" i="2" a="1"/>
  <c r="X377" i="2" s="1"/>
  <c r="Y377" i="2" s="1"/>
  <c r="AO376" i="2"/>
  <c r="AG376" i="2" a="1"/>
  <c r="AG376" i="2" s="1"/>
  <c r="AH376" i="2" s="1"/>
  <c r="AD376" i="2" a="1"/>
  <c r="AD376" i="2" s="1"/>
  <c r="AE376" i="2" s="1"/>
  <c r="AA376" i="2" a="1"/>
  <c r="AA376" i="2" s="1"/>
  <c r="AB376" i="2" s="1"/>
  <c r="X376" i="2" a="1"/>
  <c r="X376" i="2" s="1"/>
  <c r="Y376" i="2" s="1"/>
  <c r="AO375" i="2"/>
  <c r="AG375" i="2" a="1"/>
  <c r="AG375" i="2" s="1"/>
  <c r="AH375" i="2" s="1"/>
  <c r="AD375" i="2" a="1"/>
  <c r="AD375" i="2" s="1"/>
  <c r="AE375" i="2" s="1"/>
  <c r="AA375" i="2" a="1"/>
  <c r="AA375" i="2" s="1"/>
  <c r="AB375" i="2" s="1"/>
  <c r="X375" i="2" a="1"/>
  <c r="X375" i="2" s="1"/>
  <c r="Y375" i="2" s="1"/>
  <c r="AO374" i="2"/>
  <c r="AG374" i="2" a="1"/>
  <c r="AG374" i="2" s="1"/>
  <c r="AH374" i="2" s="1"/>
  <c r="AD374" i="2" a="1"/>
  <c r="AD374" i="2" s="1"/>
  <c r="AE374" i="2" s="1"/>
  <c r="AA374" i="2" a="1"/>
  <c r="AA374" i="2" s="1"/>
  <c r="AB374" i="2" s="1"/>
  <c r="X374" i="2" a="1"/>
  <c r="X374" i="2" s="1"/>
  <c r="Y374" i="2" s="1"/>
  <c r="AO373" i="2"/>
  <c r="AG373" i="2" a="1"/>
  <c r="AG373" i="2" s="1"/>
  <c r="AH373" i="2" s="1"/>
  <c r="AD373" i="2" a="1"/>
  <c r="AD373" i="2" s="1"/>
  <c r="AE373" i="2" s="1"/>
  <c r="AA373" i="2" a="1"/>
  <c r="AA373" i="2" s="1"/>
  <c r="AB373" i="2" s="1"/>
  <c r="X373" i="2" a="1"/>
  <c r="X373" i="2" s="1"/>
  <c r="Y373" i="2" s="1"/>
  <c r="AO372" i="2"/>
  <c r="AG372" i="2" a="1"/>
  <c r="AG372" i="2" s="1"/>
  <c r="AH372" i="2" s="1"/>
  <c r="AD372" i="2" a="1"/>
  <c r="AD372" i="2" s="1"/>
  <c r="AE372" i="2" s="1"/>
  <c r="AA372" i="2" a="1"/>
  <c r="AA372" i="2" s="1"/>
  <c r="AB372" i="2" s="1"/>
  <c r="X372" i="2" a="1"/>
  <c r="X372" i="2" s="1"/>
  <c r="Y372" i="2" s="1"/>
  <c r="AO371" i="2"/>
  <c r="AG371" i="2" a="1"/>
  <c r="AG371" i="2" s="1"/>
  <c r="AH371" i="2" s="1"/>
  <c r="AD371" i="2" a="1"/>
  <c r="AD371" i="2" s="1"/>
  <c r="AE371" i="2" s="1"/>
  <c r="AA371" i="2" a="1"/>
  <c r="AA371" i="2" s="1"/>
  <c r="AB371" i="2" s="1"/>
  <c r="X371" i="2" a="1"/>
  <c r="X371" i="2" s="1"/>
  <c r="Y371" i="2" s="1"/>
  <c r="AO370" i="2"/>
  <c r="AG370" i="2" a="1"/>
  <c r="AG370" i="2" s="1"/>
  <c r="AH370" i="2" s="1"/>
  <c r="AD370" i="2" a="1"/>
  <c r="AD370" i="2" s="1"/>
  <c r="AE370" i="2" s="1"/>
  <c r="AA370" i="2" a="1"/>
  <c r="AA370" i="2" s="1"/>
  <c r="AB370" i="2" s="1"/>
  <c r="X370" i="2" a="1"/>
  <c r="X370" i="2" s="1"/>
  <c r="Y370" i="2" s="1"/>
  <c r="AO369" i="2"/>
  <c r="AG369" i="2" a="1"/>
  <c r="AG369" i="2" s="1"/>
  <c r="AH369" i="2" s="1"/>
  <c r="AD369" i="2" a="1"/>
  <c r="AD369" i="2" s="1"/>
  <c r="AE369" i="2" s="1"/>
  <c r="AA369" i="2" a="1"/>
  <c r="AA369" i="2" s="1"/>
  <c r="AB369" i="2" s="1"/>
  <c r="X369" i="2" a="1"/>
  <c r="X369" i="2" s="1"/>
  <c r="Y369" i="2" s="1"/>
  <c r="AO368" i="2"/>
  <c r="AG368" i="2" a="1"/>
  <c r="AG368" i="2" s="1"/>
  <c r="AH368" i="2" s="1"/>
  <c r="AD368" i="2" a="1"/>
  <c r="AD368" i="2" s="1"/>
  <c r="AE368" i="2" s="1"/>
  <c r="AA368" i="2" a="1"/>
  <c r="AA368" i="2" s="1"/>
  <c r="AB368" i="2" s="1"/>
  <c r="X368" i="2" a="1"/>
  <c r="X368" i="2" s="1"/>
  <c r="Y368" i="2" s="1"/>
  <c r="AO367" i="2"/>
  <c r="AG367" i="2" a="1"/>
  <c r="AG367" i="2" s="1"/>
  <c r="AH367" i="2" s="1"/>
  <c r="AD367" i="2" a="1"/>
  <c r="AD367" i="2" s="1"/>
  <c r="AE367" i="2" s="1"/>
  <c r="AA367" i="2" a="1"/>
  <c r="AA367" i="2" s="1"/>
  <c r="AB367" i="2" s="1"/>
  <c r="X367" i="2" a="1"/>
  <c r="X367" i="2" s="1"/>
  <c r="Y367" i="2" s="1"/>
  <c r="AO366" i="2"/>
  <c r="AG366" i="2" a="1"/>
  <c r="AG366" i="2" s="1"/>
  <c r="AH366" i="2" s="1"/>
  <c r="AD366" i="2" a="1"/>
  <c r="AD366" i="2" s="1"/>
  <c r="AE366" i="2" s="1"/>
  <c r="AA366" i="2" a="1"/>
  <c r="AA366" i="2" s="1"/>
  <c r="AB366" i="2" s="1"/>
  <c r="X366" i="2" a="1"/>
  <c r="X366" i="2" s="1"/>
  <c r="Y366" i="2" s="1"/>
  <c r="AO365" i="2"/>
  <c r="AG365" i="2" a="1"/>
  <c r="AG365" i="2" s="1"/>
  <c r="AH365" i="2" s="1"/>
  <c r="AD365" i="2" a="1"/>
  <c r="AD365" i="2" s="1"/>
  <c r="AE365" i="2" s="1"/>
  <c r="AA365" i="2" a="1"/>
  <c r="AA365" i="2" s="1"/>
  <c r="AB365" i="2" s="1"/>
  <c r="X365" i="2" a="1"/>
  <c r="X365" i="2" s="1"/>
  <c r="Y365" i="2" s="1"/>
  <c r="AO364" i="2"/>
  <c r="AG364" i="2" a="1"/>
  <c r="AG364" i="2" s="1"/>
  <c r="AH364" i="2" s="1"/>
  <c r="AD364" i="2" a="1"/>
  <c r="AD364" i="2" s="1"/>
  <c r="AE364" i="2" s="1"/>
  <c r="AA364" i="2" a="1"/>
  <c r="AA364" i="2" s="1"/>
  <c r="AB364" i="2" s="1"/>
  <c r="X364" i="2" a="1"/>
  <c r="X364" i="2" s="1"/>
  <c r="Y364" i="2" s="1"/>
  <c r="AO363" i="2"/>
  <c r="AG363" i="2" a="1"/>
  <c r="AG363" i="2" s="1"/>
  <c r="AH363" i="2" s="1"/>
  <c r="AD363" i="2" a="1"/>
  <c r="AD363" i="2" s="1"/>
  <c r="AE363" i="2" s="1"/>
  <c r="AA363" i="2" a="1"/>
  <c r="AA363" i="2" s="1"/>
  <c r="AB363" i="2" s="1"/>
  <c r="X363" i="2" a="1"/>
  <c r="X363" i="2" s="1"/>
  <c r="Y363" i="2" s="1"/>
  <c r="AO362" i="2"/>
  <c r="AG362" i="2" a="1"/>
  <c r="AG362" i="2" s="1"/>
  <c r="AH362" i="2" s="1"/>
  <c r="AD362" i="2" a="1"/>
  <c r="AD362" i="2" s="1"/>
  <c r="AE362" i="2" s="1"/>
  <c r="AA362" i="2" a="1"/>
  <c r="AA362" i="2" s="1"/>
  <c r="AB362" i="2" s="1"/>
  <c r="X362" i="2" a="1"/>
  <c r="X362" i="2" s="1"/>
  <c r="Y362" i="2" s="1"/>
  <c r="AO361" i="2"/>
  <c r="AG361" i="2" a="1"/>
  <c r="AG361" i="2" s="1"/>
  <c r="AH361" i="2" s="1"/>
  <c r="AD361" i="2" a="1"/>
  <c r="AD361" i="2" s="1"/>
  <c r="AE361" i="2" s="1"/>
  <c r="AA361" i="2" a="1"/>
  <c r="AA361" i="2" s="1"/>
  <c r="AB361" i="2" s="1"/>
  <c r="X361" i="2" a="1"/>
  <c r="X361" i="2" s="1"/>
  <c r="Y361" i="2" s="1"/>
  <c r="AO360" i="2"/>
  <c r="AG360" i="2" a="1"/>
  <c r="AG360" i="2" s="1"/>
  <c r="AH360" i="2" s="1"/>
  <c r="AD360" i="2" a="1"/>
  <c r="AD360" i="2" s="1"/>
  <c r="AE360" i="2" s="1"/>
  <c r="AA360" i="2" a="1"/>
  <c r="AA360" i="2" s="1"/>
  <c r="AB360" i="2" s="1"/>
  <c r="X360" i="2" a="1"/>
  <c r="X360" i="2" s="1"/>
  <c r="Y360" i="2" s="1"/>
  <c r="AO359" i="2"/>
  <c r="AG359" i="2" a="1"/>
  <c r="AG359" i="2" s="1"/>
  <c r="AH359" i="2" s="1"/>
  <c r="AD359" i="2" a="1"/>
  <c r="AD359" i="2" s="1"/>
  <c r="AE359" i="2" s="1"/>
  <c r="AA359" i="2" a="1"/>
  <c r="AA359" i="2" s="1"/>
  <c r="AB359" i="2" s="1"/>
  <c r="X359" i="2" a="1"/>
  <c r="X359" i="2" s="1"/>
  <c r="Y359" i="2" s="1"/>
  <c r="AO358" i="2"/>
  <c r="AG358" i="2" a="1"/>
  <c r="AG358" i="2" s="1"/>
  <c r="AH358" i="2" s="1"/>
  <c r="AD358" i="2" a="1"/>
  <c r="AD358" i="2" s="1"/>
  <c r="AE358" i="2" s="1"/>
  <c r="AA358" i="2" a="1"/>
  <c r="AA358" i="2" s="1"/>
  <c r="AB358" i="2" s="1"/>
  <c r="X358" i="2" a="1"/>
  <c r="X358" i="2" s="1"/>
  <c r="Y358" i="2" s="1"/>
  <c r="AO357" i="2"/>
  <c r="AG357" i="2" a="1"/>
  <c r="AG357" i="2" s="1"/>
  <c r="AH357" i="2" s="1"/>
  <c r="AD357" i="2" a="1"/>
  <c r="AD357" i="2" s="1"/>
  <c r="AE357" i="2" s="1"/>
  <c r="AA357" i="2" a="1"/>
  <c r="AA357" i="2" s="1"/>
  <c r="AB357" i="2" s="1"/>
  <c r="X357" i="2" a="1"/>
  <c r="X357" i="2" s="1"/>
  <c r="Y357" i="2" s="1"/>
  <c r="AO356" i="2"/>
  <c r="AG356" i="2" a="1"/>
  <c r="AG356" i="2" s="1"/>
  <c r="AH356" i="2" s="1"/>
  <c r="AD356" i="2" a="1"/>
  <c r="AD356" i="2" s="1"/>
  <c r="AE356" i="2" s="1"/>
  <c r="AA356" i="2" a="1"/>
  <c r="AA356" i="2" s="1"/>
  <c r="AB356" i="2" s="1"/>
  <c r="X356" i="2" a="1"/>
  <c r="X356" i="2" s="1"/>
  <c r="Y356" i="2" s="1"/>
  <c r="AO355" i="2"/>
  <c r="AG355" i="2" a="1"/>
  <c r="AG355" i="2" s="1"/>
  <c r="AH355" i="2" s="1"/>
  <c r="AD355" i="2" a="1"/>
  <c r="AD355" i="2" s="1"/>
  <c r="AE355" i="2" s="1"/>
  <c r="AA355" i="2" a="1"/>
  <c r="AA355" i="2" s="1"/>
  <c r="AB355" i="2" s="1"/>
  <c r="X355" i="2" a="1"/>
  <c r="X355" i="2" s="1"/>
  <c r="Y355" i="2" s="1"/>
  <c r="AO354" i="2"/>
  <c r="AG354" i="2" a="1"/>
  <c r="AG354" i="2" s="1"/>
  <c r="AH354" i="2" s="1"/>
  <c r="AD354" i="2" a="1"/>
  <c r="AD354" i="2" s="1"/>
  <c r="AE354" i="2" s="1"/>
  <c r="AA354" i="2" a="1"/>
  <c r="AA354" i="2" s="1"/>
  <c r="AB354" i="2" s="1"/>
  <c r="X354" i="2" a="1"/>
  <c r="X354" i="2" s="1"/>
  <c r="Y354" i="2" s="1"/>
  <c r="AO353" i="2"/>
  <c r="AG353" i="2" a="1"/>
  <c r="AG353" i="2" s="1"/>
  <c r="AH353" i="2" s="1"/>
  <c r="AD353" i="2" a="1"/>
  <c r="AD353" i="2" s="1"/>
  <c r="AE353" i="2" s="1"/>
  <c r="AA353" i="2" a="1"/>
  <c r="AA353" i="2" s="1"/>
  <c r="AB353" i="2" s="1"/>
  <c r="X353" i="2" a="1"/>
  <c r="X353" i="2" s="1"/>
  <c r="Y353" i="2" s="1"/>
  <c r="AO352" i="2"/>
  <c r="AG352" i="2" a="1"/>
  <c r="AG352" i="2" s="1"/>
  <c r="AH352" i="2" s="1"/>
  <c r="AD352" i="2" a="1"/>
  <c r="AD352" i="2" s="1"/>
  <c r="AE352" i="2" s="1"/>
  <c r="AA352" i="2" a="1"/>
  <c r="AA352" i="2" s="1"/>
  <c r="AB352" i="2" s="1"/>
  <c r="X352" i="2" a="1"/>
  <c r="X352" i="2" s="1"/>
  <c r="Y352" i="2" s="1"/>
  <c r="AO351" i="2"/>
  <c r="AG351" i="2" a="1"/>
  <c r="AG351" i="2" s="1"/>
  <c r="AH351" i="2" s="1"/>
  <c r="AD351" i="2" a="1"/>
  <c r="AD351" i="2" s="1"/>
  <c r="AE351" i="2" s="1"/>
  <c r="AA351" i="2" a="1"/>
  <c r="AA351" i="2" s="1"/>
  <c r="AB351" i="2" s="1"/>
  <c r="X351" i="2" a="1"/>
  <c r="X351" i="2" s="1"/>
  <c r="Y351" i="2" s="1"/>
  <c r="AO350" i="2"/>
  <c r="AG350" i="2" a="1"/>
  <c r="AG350" i="2" s="1"/>
  <c r="AH350" i="2" s="1"/>
  <c r="AD350" i="2" a="1"/>
  <c r="AD350" i="2" s="1"/>
  <c r="AE350" i="2" s="1"/>
  <c r="AA350" i="2" a="1"/>
  <c r="AA350" i="2" s="1"/>
  <c r="AB350" i="2" s="1"/>
  <c r="X350" i="2" a="1"/>
  <c r="X350" i="2" s="1"/>
  <c r="Y350" i="2" s="1"/>
  <c r="AO349" i="2"/>
  <c r="AG349" i="2" a="1"/>
  <c r="AG349" i="2" s="1"/>
  <c r="AH349" i="2" s="1"/>
  <c r="AD349" i="2" a="1"/>
  <c r="AD349" i="2" s="1"/>
  <c r="AE349" i="2" s="1"/>
  <c r="AA349" i="2" a="1"/>
  <c r="AA349" i="2" s="1"/>
  <c r="AB349" i="2" s="1"/>
  <c r="X349" i="2" a="1"/>
  <c r="X349" i="2" s="1"/>
  <c r="Y349" i="2" s="1"/>
  <c r="AO348" i="2"/>
  <c r="AG348" i="2" a="1"/>
  <c r="AG348" i="2" s="1"/>
  <c r="AH348" i="2" s="1"/>
  <c r="AD348" i="2" a="1"/>
  <c r="AD348" i="2" s="1"/>
  <c r="AE348" i="2" s="1"/>
  <c r="AA348" i="2" a="1"/>
  <c r="AA348" i="2" s="1"/>
  <c r="AB348" i="2" s="1"/>
  <c r="X348" i="2" a="1"/>
  <c r="X348" i="2" s="1"/>
  <c r="Y348" i="2" s="1"/>
  <c r="AO347" i="2"/>
  <c r="AG347" i="2" a="1"/>
  <c r="AG347" i="2" s="1"/>
  <c r="AH347" i="2" s="1"/>
  <c r="AD347" i="2" a="1"/>
  <c r="AD347" i="2" s="1"/>
  <c r="AE347" i="2" s="1"/>
  <c r="AA347" i="2" a="1"/>
  <c r="AA347" i="2" s="1"/>
  <c r="AB347" i="2" s="1"/>
  <c r="X347" i="2" a="1"/>
  <c r="X347" i="2" s="1"/>
  <c r="Y347" i="2" s="1"/>
  <c r="AO346" i="2"/>
  <c r="AG346" i="2" a="1"/>
  <c r="AG346" i="2" s="1"/>
  <c r="AH346" i="2" s="1"/>
  <c r="AD346" i="2" a="1"/>
  <c r="AD346" i="2" s="1"/>
  <c r="AE346" i="2" s="1"/>
  <c r="AA346" i="2" a="1"/>
  <c r="AA346" i="2" s="1"/>
  <c r="AB346" i="2" s="1"/>
  <c r="X346" i="2" a="1"/>
  <c r="X346" i="2" s="1"/>
  <c r="Y346" i="2" s="1"/>
  <c r="AO345" i="2"/>
  <c r="AG345" i="2" a="1"/>
  <c r="AG345" i="2" s="1"/>
  <c r="AH345" i="2" s="1"/>
  <c r="AD345" i="2" a="1"/>
  <c r="AD345" i="2" s="1"/>
  <c r="AE345" i="2" s="1"/>
  <c r="AA345" i="2" a="1"/>
  <c r="AA345" i="2" s="1"/>
  <c r="AB345" i="2" s="1"/>
  <c r="X345" i="2" a="1"/>
  <c r="X345" i="2" s="1"/>
  <c r="Y345" i="2" s="1"/>
  <c r="AO344" i="2"/>
  <c r="AG344" i="2" a="1"/>
  <c r="AG344" i="2" s="1"/>
  <c r="AH344" i="2" s="1"/>
  <c r="AD344" i="2" a="1"/>
  <c r="AD344" i="2" s="1"/>
  <c r="AE344" i="2" s="1"/>
  <c r="AA344" i="2" a="1"/>
  <c r="AA344" i="2" s="1"/>
  <c r="AB344" i="2" s="1"/>
  <c r="X344" i="2" a="1"/>
  <c r="X344" i="2" s="1"/>
  <c r="Y344" i="2" s="1"/>
  <c r="AO343" i="2"/>
  <c r="AG343" i="2" a="1"/>
  <c r="AG343" i="2" s="1"/>
  <c r="AH343" i="2" s="1"/>
  <c r="AD343" i="2" a="1"/>
  <c r="AD343" i="2" s="1"/>
  <c r="AE343" i="2" s="1"/>
  <c r="AA343" i="2" a="1"/>
  <c r="AA343" i="2" s="1"/>
  <c r="AB343" i="2" s="1"/>
  <c r="X343" i="2" a="1"/>
  <c r="X343" i="2" s="1"/>
  <c r="Y343" i="2" s="1"/>
  <c r="AO342" i="2"/>
  <c r="AG342" i="2" a="1"/>
  <c r="AG342" i="2" s="1"/>
  <c r="AH342" i="2" s="1"/>
  <c r="AD342" i="2" a="1"/>
  <c r="AD342" i="2" s="1"/>
  <c r="AE342" i="2" s="1"/>
  <c r="AA342" i="2" a="1"/>
  <c r="AA342" i="2" s="1"/>
  <c r="AB342" i="2" s="1"/>
  <c r="X342" i="2" a="1"/>
  <c r="X342" i="2" s="1"/>
  <c r="Y342" i="2" s="1"/>
  <c r="AO341" i="2"/>
  <c r="AG341" i="2" a="1"/>
  <c r="AG341" i="2" s="1"/>
  <c r="AH341" i="2" s="1"/>
  <c r="AD341" i="2" a="1"/>
  <c r="AD341" i="2" s="1"/>
  <c r="AE341" i="2" s="1"/>
  <c r="AA341" i="2" a="1"/>
  <c r="AA341" i="2" s="1"/>
  <c r="AB341" i="2" s="1"/>
  <c r="X341" i="2" a="1"/>
  <c r="X341" i="2" s="1"/>
  <c r="Y341" i="2" s="1"/>
  <c r="AO340" i="2"/>
  <c r="AG340" i="2" a="1"/>
  <c r="AG340" i="2" s="1"/>
  <c r="AH340" i="2" s="1"/>
  <c r="AD340" i="2" a="1"/>
  <c r="AD340" i="2" s="1"/>
  <c r="AE340" i="2" s="1"/>
  <c r="AA340" i="2" a="1"/>
  <c r="AA340" i="2" s="1"/>
  <c r="AB340" i="2" s="1"/>
  <c r="X340" i="2" a="1"/>
  <c r="X340" i="2" s="1"/>
  <c r="Y340" i="2" s="1"/>
  <c r="AO339" i="2"/>
  <c r="AG339" i="2" a="1"/>
  <c r="AG339" i="2" s="1"/>
  <c r="AH339" i="2" s="1"/>
  <c r="AD339" i="2" a="1"/>
  <c r="AD339" i="2" s="1"/>
  <c r="AE339" i="2" s="1"/>
  <c r="AA339" i="2" a="1"/>
  <c r="AA339" i="2" s="1"/>
  <c r="AB339" i="2" s="1"/>
  <c r="X339" i="2" a="1"/>
  <c r="X339" i="2" s="1"/>
  <c r="Y339" i="2" s="1"/>
  <c r="AO338" i="2"/>
  <c r="AG338" i="2" a="1"/>
  <c r="AG338" i="2" s="1"/>
  <c r="AH338" i="2" s="1"/>
  <c r="AD338" i="2" a="1"/>
  <c r="AD338" i="2" s="1"/>
  <c r="AE338" i="2" s="1"/>
  <c r="AA338" i="2" a="1"/>
  <c r="AA338" i="2" s="1"/>
  <c r="AB338" i="2" s="1"/>
  <c r="X338" i="2" a="1"/>
  <c r="X338" i="2" s="1"/>
  <c r="Y338" i="2" s="1"/>
  <c r="AO337" i="2"/>
  <c r="AG337" i="2" a="1"/>
  <c r="AG337" i="2" s="1"/>
  <c r="AH337" i="2" s="1"/>
  <c r="AD337" i="2" a="1"/>
  <c r="AD337" i="2" s="1"/>
  <c r="AE337" i="2" s="1"/>
  <c r="AA337" i="2" a="1"/>
  <c r="AA337" i="2" s="1"/>
  <c r="AB337" i="2" s="1"/>
  <c r="X337" i="2" a="1"/>
  <c r="X337" i="2" s="1"/>
  <c r="Y337" i="2" s="1"/>
  <c r="AO336" i="2"/>
  <c r="AG336" i="2" a="1"/>
  <c r="AG336" i="2" s="1"/>
  <c r="AH336" i="2" s="1"/>
  <c r="AD336" i="2" a="1"/>
  <c r="AD336" i="2" s="1"/>
  <c r="AE336" i="2" s="1"/>
  <c r="AA336" i="2" a="1"/>
  <c r="AA336" i="2" s="1"/>
  <c r="AB336" i="2" s="1"/>
  <c r="X336" i="2" a="1"/>
  <c r="X336" i="2" s="1"/>
  <c r="Y336" i="2" s="1"/>
  <c r="AO335" i="2"/>
  <c r="AG335" i="2" a="1"/>
  <c r="AG335" i="2" s="1"/>
  <c r="AH335" i="2" s="1"/>
  <c r="AD335" i="2" a="1"/>
  <c r="AD335" i="2" s="1"/>
  <c r="AE335" i="2" s="1"/>
  <c r="AA335" i="2" a="1"/>
  <c r="AA335" i="2" s="1"/>
  <c r="AB335" i="2" s="1"/>
  <c r="X335" i="2" a="1"/>
  <c r="X335" i="2" s="1"/>
  <c r="Y335" i="2" s="1"/>
  <c r="AO334" i="2"/>
  <c r="AG334" i="2" a="1"/>
  <c r="AG334" i="2" s="1"/>
  <c r="AH334" i="2" s="1"/>
  <c r="AD334" i="2" a="1"/>
  <c r="AD334" i="2" s="1"/>
  <c r="AE334" i="2" s="1"/>
  <c r="AA334" i="2" a="1"/>
  <c r="AA334" i="2" s="1"/>
  <c r="AB334" i="2" s="1"/>
  <c r="X334" i="2" a="1"/>
  <c r="X334" i="2" s="1"/>
  <c r="Y334" i="2" s="1"/>
  <c r="AO333" i="2"/>
  <c r="AG333" i="2" a="1"/>
  <c r="AG333" i="2" s="1"/>
  <c r="AH333" i="2" s="1"/>
  <c r="AD333" i="2" a="1"/>
  <c r="AD333" i="2" s="1"/>
  <c r="AE333" i="2" s="1"/>
  <c r="AA333" i="2" a="1"/>
  <c r="AA333" i="2" s="1"/>
  <c r="AB333" i="2" s="1"/>
  <c r="X333" i="2" a="1"/>
  <c r="X333" i="2" s="1"/>
  <c r="Y333" i="2" s="1"/>
  <c r="AO332" i="2"/>
  <c r="AG332" i="2" a="1"/>
  <c r="AG332" i="2" s="1"/>
  <c r="AH332" i="2" s="1"/>
  <c r="AD332" i="2" a="1"/>
  <c r="AD332" i="2" s="1"/>
  <c r="AE332" i="2" s="1"/>
  <c r="AA332" i="2" a="1"/>
  <c r="AA332" i="2" s="1"/>
  <c r="AB332" i="2" s="1"/>
  <c r="X332" i="2" a="1"/>
  <c r="X332" i="2" s="1"/>
  <c r="Y332" i="2" s="1"/>
  <c r="AO331" i="2"/>
  <c r="AG331" i="2" a="1"/>
  <c r="AG331" i="2" s="1"/>
  <c r="AH331" i="2" s="1"/>
  <c r="AD331" i="2" a="1"/>
  <c r="AD331" i="2" s="1"/>
  <c r="AE331" i="2" s="1"/>
  <c r="AA331" i="2" a="1"/>
  <c r="AA331" i="2" s="1"/>
  <c r="AB331" i="2" s="1"/>
  <c r="X331" i="2" a="1"/>
  <c r="X331" i="2" s="1"/>
  <c r="Y331" i="2" s="1"/>
  <c r="AO330" i="2"/>
  <c r="AG330" i="2" a="1"/>
  <c r="AG330" i="2" s="1"/>
  <c r="AH330" i="2" s="1"/>
  <c r="AD330" i="2" a="1"/>
  <c r="AD330" i="2" s="1"/>
  <c r="AE330" i="2" s="1"/>
  <c r="AA330" i="2" a="1"/>
  <c r="AA330" i="2" s="1"/>
  <c r="AB330" i="2" s="1"/>
  <c r="X330" i="2" a="1"/>
  <c r="X330" i="2" s="1"/>
  <c r="Y330" i="2" s="1"/>
  <c r="AO329" i="2"/>
  <c r="AG329" i="2" a="1"/>
  <c r="AG329" i="2" s="1"/>
  <c r="AH329" i="2" s="1"/>
  <c r="AD329" i="2" a="1"/>
  <c r="AD329" i="2" s="1"/>
  <c r="AE329" i="2" s="1"/>
  <c r="AA329" i="2" a="1"/>
  <c r="AA329" i="2" s="1"/>
  <c r="AB329" i="2" s="1"/>
  <c r="X329" i="2" a="1"/>
  <c r="X329" i="2" s="1"/>
  <c r="Y329" i="2" s="1"/>
  <c r="AO328" i="2"/>
  <c r="AG328" i="2" a="1"/>
  <c r="AG328" i="2" s="1"/>
  <c r="AH328" i="2" s="1"/>
  <c r="AD328" i="2" a="1"/>
  <c r="AD328" i="2" s="1"/>
  <c r="AE328" i="2" s="1"/>
  <c r="AA328" i="2" a="1"/>
  <c r="AA328" i="2" s="1"/>
  <c r="AB328" i="2" s="1"/>
  <c r="X328" i="2" a="1"/>
  <c r="X328" i="2" s="1"/>
  <c r="Y328" i="2" s="1"/>
  <c r="AO327" i="2"/>
  <c r="AG327" i="2" a="1"/>
  <c r="AG327" i="2" s="1"/>
  <c r="AH327" i="2" s="1"/>
  <c r="AD327" i="2" a="1"/>
  <c r="AD327" i="2" s="1"/>
  <c r="AE327" i="2" s="1"/>
  <c r="AA327" i="2" a="1"/>
  <c r="AA327" i="2" s="1"/>
  <c r="AB327" i="2" s="1"/>
  <c r="X327" i="2" a="1"/>
  <c r="X327" i="2" s="1"/>
  <c r="Y327" i="2" s="1"/>
  <c r="AO326" i="2"/>
  <c r="AG326" i="2" a="1"/>
  <c r="AG326" i="2" s="1"/>
  <c r="AH326" i="2" s="1"/>
  <c r="AD326" i="2" a="1"/>
  <c r="AD326" i="2" s="1"/>
  <c r="AE326" i="2" s="1"/>
  <c r="AA326" i="2" a="1"/>
  <c r="AA326" i="2" s="1"/>
  <c r="AB326" i="2" s="1"/>
  <c r="X326" i="2" a="1"/>
  <c r="X326" i="2" s="1"/>
  <c r="Y326" i="2" s="1"/>
  <c r="AO325" i="2"/>
  <c r="AG325" i="2" a="1"/>
  <c r="AG325" i="2" s="1"/>
  <c r="AH325" i="2" s="1"/>
  <c r="AD325" i="2" a="1"/>
  <c r="AD325" i="2" s="1"/>
  <c r="AE325" i="2" s="1"/>
  <c r="AA325" i="2" a="1"/>
  <c r="AA325" i="2" s="1"/>
  <c r="AB325" i="2" s="1"/>
  <c r="X325" i="2" a="1"/>
  <c r="X325" i="2" s="1"/>
  <c r="Y325" i="2" s="1"/>
  <c r="AO324" i="2"/>
  <c r="AG324" i="2" a="1"/>
  <c r="AG324" i="2" s="1"/>
  <c r="AH324" i="2" s="1"/>
  <c r="AD324" i="2" a="1"/>
  <c r="AD324" i="2" s="1"/>
  <c r="AE324" i="2" s="1"/>
  <c r="AA324" i="2" a="1"/>
  <c r="AA324" i="2" s="1"/>
  <c r="AB324" i="2" s="1"/>
  <c r="X324" i="2" a="1"/>
  <c r="X324" i="2" s="1"/>
  <c r="Y324" i="2" s="1"/>
  <c r="AO323" i="2"/>
  <c r="AG323" i="2" a="1"/>
  <c r="AG323" i="2" s="1"/>
  <c r="AH323" i="2" s="1"/>
  <c r="AD323" i="2" a="1"/>
  <c r="AD323" i="2" s="1"/>
  <c r="AE323" i="2" s="1"/>
  <c r="AA323" i="2" a="1"/>
  <c r="AA323" i="2" s="1"/>
  <c r="AB323" i="2" s="1"/>
  <c r="X323" i="2" a="1"/>
  <c r="X323" i="2" s="1"/>
  <c r="Y323" i="2" s="1"/>
  <c r="AO322" i="2"/>
  <c r="AG322" i="2" a="1"/>
  <c r="AG322" i="2" s="1"/>
  <c r="AH322" i="2" s="1"/>
  <c r="AD322" i="2" a="1"/>
  <c r="AD322" i="2" s="1"/>
  <c r="AE322" i="2" s="1"/>
  <c r="AA322" i="2" a="1"/>
  <c r="AA322" i="2" s="1"/>
  <c r="AB322" i="2" s="1"/>
  <c r="X322" i="2" a="1"/>
  <c r="X322" i="2" s="1"/>
  <c r="Y322" i="2" s="1"/>
  <c r="AO321" i="2"/>
  <c r="AG321" i="2" a="1"/>
  <c r="AG321" i="2" s="1"/>
  <c r="AH321" i="2" s="1"/>
  <c r="AD321" i="2" a="1"/>
  <c r="AD321" i="2" s="1"/>
  <c r="AE321" i="2" s="1"/>
  <c r="AA321" i="2" a="1"/>
  <c r="AA321" i="2" s="1"/>
  <c r="AB321" i="2" s="1"/>
  <c r="X321" i="2" a="1"/>
  <c r="X321" i="2" s="1"/>
  <c r="Y321" i="2" s="1"/>
  <c r="AO320" i="2"/>
  <c r="AG320" i="2" a="1"/>
  <c r="AG320" i="2" s="1"/>
  <c r="AH320" i="2" s="1"/>
  <c r="AD320" i="2" a="1"/>
  <c r="AD320" i="2" s="1"/>
  <c r="AE320" i="2" s="1"/>
  <c r="AA320" i="2" a="1"/>
  <c r="AA320" i="2" s="1"/>
  <c r="AB320" i="2" s="1"/>
  <c r="X320" i="2" a="1"/>
  <c r="X320" i="2" s="1"/>
  <c r="Y320" i="2" s="1"/>
  <c r="AO319" i="2"/>
  <c r="AG319" i="2" a="1"/>
  <c r="AG319" i="2" s="1"/>
  <c r="AH319" i="2" s="1"/>
  <c r="AD319" i="2" a="1"/>
  <c r="AD319" i="2" s="1"/>
  <c r="AE319" i="2" s="1"/>
  <c r="AA319" i="2" a="1"/>
  <c r="AA319" i="2" s="1"/>
  <c r="AB319" i="2" s="1"/>
  <c r="X319" i="2" a="1"/>
  <c r="X319" i="2" s="1"/>
  <c r="Y319" i="2" s="1"/>
  <c r="AO318" i="2"/>
  <c r="AG318" i="2" a="1"/>
  <c r="AG318" i="2" s="1"/>
  <c r="AH318" i="2" s="1"/>
  <c r="AD318" i="2" a="1"/>
  <c r="AD318" i="2" s="1"/>
  <c r="AE318" i="2" s="1"/>
  <c r="AA318" i="2" a="1"/>
  <c r="AA318" i="2" s="1"/>
  <c r="AB318" i="2" s="1"/>
  <c r="X318" i="2" a="1"/>
  <c r="X318" i="2" s="1"/>
  <c r="Y318" i="2" s="1"/>
  <c r="AO317" i="2"/>
  <c r="AG317" i="2" a="1"/>
  <c r="AG317" i="2" s="1"/>
  <c r="AH317" i="2" s="1"/>
  <c r="AD317" i="2" a="1"/>
  <c r="AD317" i="2" s="1"/>
  <c r="AE317" i="2" s="1"/>
  <c r="AA317" i="2" a="1"/>
  <c r="AA317" i="2" s="1"/>
  <c r="AB317" i="2" s="1"/>
  <c r="X317" i="2" a="1"/>
  <c r="X317" i="2" s="1"/>
  <c r="Y317" i="2" s="1"/>
  <c r="AO316" i="2"/>
  <c r="AG316" i="2" a="1"/>
  <c r="AG316" i="2" s="1"/>
  <c r="AH316" i="2" s="1"/>
  <c r="AD316" i="2" a="1"/>
  <c r="AD316" i="2" s="1"/>
  <c r="AE316" i="2" s="1"/>
  <c r="AA316" i="2" a="1"/>
  <c r="AA316" i="2" s="1"/>
  <c r="AB316" i="2" s="1"/>
  <c r="X316" i="2" a="1"/>
  <c r="X316" i="2" s="1"/>
  <c r="Y316" i="2" s="1"/>
  <c r="AO315" i="2"/>
  <c r="AG315" i="2" a="1"/>
  <c r="AG315" i="2" s="1"/>
  <c r="AH315" i="2" s="1"/>
  <c r="AD315" i="2" a="1"/>
  <c r="AD315" i="2" s="1"/>
  <c r="AE315" i="2" s="1"/>
  <c r="AA315" i="2" a="1"/>
  <c r="AA315" i="2" s="1"/>
  <c r="AB315" i="2" s="1"/>
  <c r="X315" i="2" a="1"/>
  <c r="X315" i="2" s="1"/>
  <c r="Y315" i="2" s="1"/>
  <c r="AO314" i="2"/>
  <c r="AG314" i="2" a="1"/>
  <c r="AG314" i="2" s="1"/>
  <c r="AH314" i="2" s="1"/>
  <c r="AD314" i="2" a="1"/>
  <c r="AD314" i="2" s="1"/>
  <c r="AE314" i="2" s="1"/>
  <c r="AA314" i="2" a="1"/>
  <c r="AA314" i="2" s="1"/>
  <c r="AB314" i="2" s="1"/>
  <c r="X314" i="2" a="1"/>
  <c r="X314" i="2" s="1"/>
  <c r="Y314" i="2" s="1"/>
  <c r="AO313" i="2"/>
  <c r="AG313" i="2" a="1"/>
  <c r="AG313" i="2" s="1"/>
  <c r="AH313" i="2" s="1"/>
  <c r="AD313" i="2" a="1"/>
  <c r="AD313" i="2" s="1"/>
  <c r="AE313" i="2" s="1"/>
  <c r="AA313" i="2" a="1"/>
  <c r="AA313" i="2" s="1"/>
  <c r="AB313" i="2" s="1"/>
  <c r="X313" i="2" a="1"/>
  <c r="X313" i="2" s="1"/>
  <c r="Y313" i="2" s="1"/>
  <c r="AO312" i="2"/>
  <c r="AG312" i="2" a="1"/>
  <c r="AG312" i="2" s="1"/>
  <c r="AH312" i="2" s="1"/>
  <c r="AD312" i="2" a="1"/>
  <c r="AD312" i="2" s="1"/>
  <c r="AE312" i="2" s="1"/>
  <c r="AA312" i="2" a="1"/>
  <c r="AA312" i="2" s="1"/>
  <c r="AB312" i="2" s="1"/>
  <c r="X312" i="2" a="1"/>
  <c r="X312" i="2" s="1"/>
  <c r="Y312" i="2" s="1"/>
  <c r="AO311" i="2"/>
  <c r="AG311" i="2" a="1"/>
  <c r="AG311" i="2" s="1"/>
  <c r="AH311" i="2" s="1"/>
  <c r="AD311" i="2" a="1"/>
  <c r="AD311" i="2" s="1"/>
  <c r="AE311" i="2" s="1"/>
  <c r="AA311" i="2" a="1"/>
  <c r="AA311" i="2" s="1"/>
  <c r="AB311" i="2" s="1"/>
  <c r="X311" i="2" a="1"/>
  <c r="X311" i="2" s="1"/>
  <c r="Y311" i="2" s="1"/>
  <c r="AO310" i="2"/>
  <c r="AG310" i="2" a="1"/>
  <c r="AG310" i="2" s="1"/>
  <c r="AH310" i="2" s="1"/>
  <c r="AD310" i="2" a="1"/>
  <c r="AD310" i="2" s="1"/>
  <c r="AE310" i="2" s="1"/>
  <c r="AA310" i="2" a="1"/>
  <c r="AA310" i="2" s="1"/>
  <c r="AB310" i="2" s="1"/>
  <c r="X310" i="2" a="1"/>
  <c r="X310" i="2" s="1"/>
  <c r="Y310" i="2" s="1"/>
  <c r="AO309" i="2"/>
  <c r="AG309" i="2" a="1"/>
  <c r="AG309" i="2" s="1"/>
  <c r="AH309" i="2" s="1"/>
  <c r="AD309" i="2" a="1"/>
  <c r="AD309" i="2" s="1"/>
  <c r="AE309" i="2" s="1"/>
  <c r="AA309" i="2" a="1"/>
  <c r="AA309" i="2" s="1"/>
  <c r="AB309" i="2" s="1"/>
  <c r="X309" i="2" a="1"/>
  <c r="X309" i="2" s="1"/>
  <c r="Y309" i="2" s="1"/>
  <c r="AO308" i="2"/>
  <c r="AG308" i="2" a="1"/>
  <c r="AG308" i="2" s="1"/>
  <c r="AH308" i="2" s="1"/>
  <c r="AD308" i="2" a="1"/>
  <c r="AD308" i="2" s="1"/>
  <c r="AE308" i="2" s="1"/>
  <c r="AA308" i="2" a="1"/>
  <c r="AA308" i="2" s="1"/>
  <c r="AB308" i="2" s="1"/>
  <c r="X308" i="2" a="1"/>
  <c r="X308" i="2" s="1"/>
  <c r="Y308" i="2" s="1"/>
  <c r="AO307" i="2"/>
  <c r="AG307" i="2" a="1"/>
  <c r="AG307" i="2" s="1"/>
  <c r="AH307" i="2" s="1"/>
  <c r="AD307" i="2" a="1"/>
  <c r="AD307" i="2" s="1"/>
  <c r="AE307" i="2" s="1"/>
  <c r="AA307" i="2" a="1"/>
  <c r="AA307" i="2" s="1"/>
  <c r="AB307" i="2" s="1"/>
  <c r="X307" i="2" a="1"/>
  <c r="X307" i="2" s="1"/>
  <c r="Y307" i="2" s="1"/>
  <c r="AO306" i="2"/>
  <c r="AG306" i="2" a="1"/>
  <c r="AG306" i="2" s="1"/>
  <c r="AH306" i="2" s="1"/>
  <c r="AD306" i="2" a="1"/>
  <c r="AD306" i="2" s="1"/>
  <c r="AE306" i="2" s="1"/>
  <c r="AA306" i="2" a="1"/>
  <c r="AA306" i="2" s="1"/>
  <c r="AB306" i="2" s="1"/>
  <c r="X306" i="2" a="1"/>
  <c r="X306" i="2" s="1"/>
  <c r="Y306" i="2" s="1"/>
  <c r="AO305" i="2"/>
  <c r="AG305" i="2" a="1"/>
  <c r="AG305" i="2" s="1"/>
  <c r="AH305" i="2" s="1"/>
  <c r="AD305" i="2" a="1"/>
  <c r="AD305" i="2" s="1"/>
  <c r="AE305" i="2" s="1"/>
  <c r="AA305" i="2" a="1"/>
  <c r="AA305" i="2" s="1"/>
  <c r="AB305" i="2" s="1"/>
  <c r="X305" i="2" a="1"/>
  <c r="X305" i="2" s="1"/>
  <c r="Y305" i="2" s="1"/>
  <c r="AO304" i="2"/>
  <c r="AG304" i="2" a="1"/>
  <c r="AG304" i="2" s="1"/>
  <c r="AH304" i="2" s="1"/>
  <c r="AD304" i="2" a="1"/>
  <c r="AD304" i="2" s="1"/>
  <c r="AE304" i="2" s="1"/>
  <c r="AA304" i="2" a="1"/>
  <c r="AA304" i="2" s="1"/>
  <c r="AB304" i="2" s="1"/>
  <c r="X304" i="2" a="1"/>
  <c r="X304" i="2" s="1"/>
  <c r="Y304" i="2" s="1"/>
  <c r="AO303" i="2"/>
  <c r="AG303" i="2" a="1"/>
  <c r="AG303" i="2" s="1"/>
  <c r="AH303" i="2" s="1"/>
  <c r="AD303" i="2" a="1"/>
  <c r="AD303" i="2" s="1"/>
  <c r="AE303" i="2" s="1"/>
  <c r="AA303" i="2" a="1"/>
  <c r="AA303" i="2" s="1"/>
  <c r="AB303" i="2" s="1"/>
  <c r="X303" i="2" a="1"/>
  <c r="X303" i="2" s="1"/>
  <c r="Y303" i="2" s="1"/>
  <c r="AO302" i="2"/>
  <c r="AG302" i="2" a="1"/>
  <c r="AG302" i="2" s="1"/>
  <c r="AH302" i="2" s="1"/>
  <c r="AD302" i="2" a="1"/>
  <c r="AD302" i="2" s="1"/>
  <c r="AE302" i="2" s="1"/>
  <c r="AA302" i="2" a="1"/>
  <c r="AA302" i="2" s="1"/>
  <c r="AB302" i="2" s="1"/>
  <c r="X302" i="2" a="1"/>
  <c r="X302" i="2" s="1"/>
  <c r="Y302" i="2" s="1"/>
  <c r="AO292" i="2"/>
  <c r="AO293" i="2"/>
  <c r="AO294" i="2"/>
  <c r="AO295" i="2"/>
  <c r="AO296" i="2"/>
  <c r="AO297" i="2"/>
  <c r="AO298" i="2"/>
  <c r="AO299" i="2"/>
  <c r="AG291" i="2" a="1"/>
  <c r="AG291" i="2" s="1"/>
  <c r="AH291" i="2" s="1"/>
  <c r="AG292" i="2" a="1"/>
  <c r="AG292" i="2" s="1"/>
  <c r="AH292" i="2" s="1"/>
  <c r="AG293" i="2" a="1"/>
  <c r="AG293" i="2" s="1"/>
  <c r="AH293" i="2" s="1"/>
  <c r="AG294" i="2" a="1"/>
  <c r="AG294" i="2" s="1"/>
  <c r="AH294" i="2" s="1"/>
  <c r="AG295" i="2" a="1"/>
  <c r="AG295" i="2" s="1"/>
  <c r="AH295" i="2" s="1"/>
  <c r="AG296" i="2" a="1"/>
  <c r="AG296" i="2" s="1"/>
  <c r="AH296" i="2" s="1"/>
  <c r="AG297" i="2" a="1"/>
  <c r="AG297" i="2" s="1"/>
  <c r="AH297" i="2" s="1"/>
  <c r="AG298" i="2" a="1"/>
  <c r="AG298" i="2" s="1"/>
  <c r="AH298" i="2" s="1"/>
  <c r="AD291" i="2" a="1"/>
  <c r="AD291" i="2" s="1"/>
  <c r="AE291" i="2" s="1"/>
  <c r="AD292" i="2" a="1"/>
  <c r="AD292" i="2" s="1"/>
  <c r="AE292" i="2" s="1"/>
  <c r="AD293" i="2" a="1"/>
  <c r="AD293" i="2" s="1"/>
  <c r="AE293" i="2" s="1"/>
  <c r="AD294" i="2" a="1"/>
  <c r="AD294" i="2" s="1"/>
  <c r="AE294" i="2" s="1"/>
  <c r="AD295" i="2" a="1"/>
  <c r="AD295" i="2" s="1"/>
  <c r="AE295" i="2" s="1"/>
  <c r="AD296" i="2" a="1"/>
  <c r="AD296" i="2" s="1"/>
  <c r="AE296" i="2" s="1"/>
  <c r="AD297" i="2" a="1"/>
  <c r="AD297" i="2" s="1"/>
  <c r="AE297" i="2" s="1"/>
  <c r="AD298" i="2" a="1"/>
  <c r="AD298" i="2" s="1"/>
  <c r="AE298" i="2" s="1"/>
  <c r="AA291" i="2" a="1"/>
  <c r="AA291" i="2" s="1"/>
  <c r="AB291" i="2" s="1"/>
  <c r="AA292" i="2" a="1"/>
  <c r="AA292" i="2" s="1"/>
  <c r="AB292" i="2" s="1"/>
  <c r="AA293" i="2" a="1"/>
  <c r="AA293" i="2" s="1"/>
  <c r="AB293" i="2" s="1"/>
  <c r="AA294" i="2" a="1"/>
  <c r="AA294" i="2" s="1"/>
  <c r="AB294" i="2" s="1"/>
  <c r="AA295" i="2" a="1"/>
  <c r="AA295" i="2" s="1"/>
  <c r="AB295" i="2" s="1"/>
  <c r="AA296" i="2" a="1"/>
  <c r="AA296" i="2" s="1"/>
  <c r="AB296" i="2" s="1"/>
  <c r="AA297" i="2" a="1"/>
  <c r="AA297" i="2" s="1"/>
  <c r="AB297" i="2" s="1"/>
  <c r="AA298" i="2" a="1"/>
  <c r="AA298" i="2" s="1"/>
  <c r="AB298" i="2" s="1"/>
  <c r="X291" i="2" a="1"/>
  <c r="X291" i="2" s="1"/>
  <c r="Y291" i="2" s="1"/>
  <c r="X292" i="2" a="1"/>
  <c r="X292" i="2" s="1"/>
  <c r="Y292" i="2" s="1"/>
  <c r="X293" i="2" a="1"/>
  <c r="X293" i="2" s="1"/>
  <c r="Y293" i="2" s="1"/>
  <c r="X294" i="2" a="1"/>
  <c r="X294" i="2" s="1"/>
  <c r="Y294" i="2" s="1"/>
  <c r="X295" i="2" a="1"/>
  <c r="X295" i="2" s="1"/>
  <c r="Y295" i="2" s="1"/>
  <c r="X296" i="2" a="1"/>
  <c r="X296" i="2" s="1"/>
  <c r="Y296" i="2" s="1"/>
  <c r="X297" i="2" a="1"/>
  <c r="X297" i="2" s="1"/>
  <c r="Y297" i="2" s="1"/>
  <c r="X298" i="2" a="1"/>
  <c r="X298" i="2" s="1"/>
  <c r="Y298" i="2" s="1"/>
  <c r="AO300" i="2"/>
  <c r="AO301" i="2"/>
  <c r="AG299" i="2" a="1"/>
  <c r="AG299" i="2" s="1"/>
  <c r="AH299" i="2" s="1"/>
  <c r="AG300" i="2" a="1"/>
  <c r="AG300" i="2" s="1"/>
  <c r="AH300" i="2" s="1"/>
  <c r="AG301" i="2" a="1"/>
  <c r="AG301" i="2" s="1"/>
  <c r="AH301" i="2" s="1"/>
  <c r="AD299" i="2" a="1"/>
  <c r="AD299" i="2" s="1"/>
  <c r="AE299" i="2" s="1"/>
  <c r="AD300" i="2" a="1"/>
  <c r="AD300" i="2" s="1"/>
  <c r="AE300" i="2" s="1"/>
  <c r="AD301" i="2" a="1"/>
  <c r="AD301" i="2" s="1"/>
  <c r="AE301" i="2" s="1"/>
  <c r="AA299" i="2" a="1"/>
  <c r="AA299" i="2" s="1"/>
  <c r="AB299" i="2" s="1"/>
  <c r="AA300" i="2" a="1"/>
  <c r="AA300" i="2" s="1"/>
  <c r="AB300" i="2" s="1"/>
  <c r="AA301" i="2" a="1"/>
  <c r="AA301" i="2" s="1"/>
  <c r="AB301" i="2" s="1"/>
  <c r="X299" i="2" a="1"/>
  <c r="X299" i="2" s="1"/>
  <c r="Y299" i="2" s="1"/>
  <c r="X300" i="2" a="1"/>
  <c r="X300" i="2" s="1"/>
  <c r="Y300" i="2" s="1"/>
  <c r="X301" i="2" a="1"/>
  <c r="X301" i="2" s="1"/>
  <c r="Y301" i="2" s="1"/>
  <c r="T11" i="2"/>
  <c r="AP311" i="2" l="1"/>
  <c r="AQ311" i="2" s="1" a="1"/>
  <c r="AQ311" i="2" s="1"/>
  <c r="AP319" i="2"/>
  <c r="AP327" i="2"/>
  <c r="AP335" i="2"/>
  <c r="AP343" i="2"/>
  <c r="AP351" i="2"/>
  <c r="AP359" i="2"/>
  <c r="AQ359" i="2" s="1" a="1"/>
  <c r="AQ359" i="2" s="1"/>
  <c r="AP367" i="2"/>
  <c r="AQ367" i="2" s="1" a="1"/>
  <c r="AQ367" i="2" s="1"/>
  <c r="AP375" i="2"/>
  <c r="AQ375" i="2" s="1" a="1"/>
  <c r="AQ375" i="2" s="1"/>
  <c r="AP297" i="2"/>
  <c r="AP308" i="2"/>
  <c r="AP316" i="2"/>
  <c r="AP324" i="2"/>
  <c r="AP332" i="2"/>
  <c r="AP340" i="2"/>
  <c r="AP348" i="2"/>
  <c r="AQ348" i="2" s="1" a="1"/>
  <c r="AQ348" i="2" s="1"/>
  <c r="AP356" i="2"/>
  <c r="AQ356" i="2" s="1" a="1"/>
  <c r="AQ356" i="2" s="1"/>
  <c r="AP364" i="2"/>
  <c r="AP372" i="2"/>
  <c r="AP380" i="2"/>
  <c r="AP388" i="2"/>
  <c r="AP396" i="2"/>
  <c r="AP404" i="2"/>
  <c r="AQ404" i="2" s="1" a="1"/>
  <c r="AQ404" i="2" s="1"/>
  <c r="AP412" i="2"/>
  <c r="AQ412" i="2" s="1" a="1"/>
  <c r="AQ412" i="2" s="1"/>
  <c r="AP420" i="2"/>
  <c r="AP428" i="2"/>
  <c r="AP436" i="2"/>
  <c r="AP444" i="2"/>
  <c r="AP452" i="2"/>
  <c r="AP285" i="2"/>
  <c r="AP281" i="2"/>
  <c r="AQ281" i="2" s="1" a="1"/>
  <c r="AQ281" i="2" s="1"/>
  <c r="AP270" i="2"/>
  <c r="AQ270" i="2" s="1" a="1"/>
  <c r="AQ270" i="2" s="1"/>
  <c r="AP255" i="2"/>
  <c r="AQ255" i="2" s="1" a="1"/>
  <c r="AQ255" i="2" s="1"/>
  <c r="AP251" i="2"/>
  <c r="AP246" i="2"/>
  <c r="AP221" i="2"/>
  <c r="AP214" i="2"/>
  <c r="AP190" i="2"/>
  <c r="AP159" i="2"/>
  <c r="AQ159" i="2" s="1" a="1"/>
  <c r="AQ159" i="2" s="1"/>
  <c r="AP151" i="2"/>
  <c r="AQ151" i="2" s="1" a="1"/>
  <c r="AQ151" i="2" s="1"/>
  <c r="AP79" i="2"/>
  <c r="AQ79" i="2" s="1" a="1"/>
  <c r="AQ79" i="2" s="1"/>
  <c r="AP51" i="2"/>
  <c r="AQ51" i="2" s="1" a="1"/>
  <c r="AQ51" i="2" s="1"/>
  <c r="AP249" i="2"/>
  <c r="AP245" i="2"/>
  <c r="AP228" i="2"/>
  <c r="AP220" i="2"/>
  <c r="AP474" i="2"/>
  <c r="AQ474" i="2" s="1" a="1"/>
  <c r="AQ474" i="2" s="1"/>
  <c r="AP203" i="2"/>
  <c r="AQ203" i="2" s="1" a="1"/>
  <c r="AQ203" i="2" s="1"/>
  <c r="AP195" i="2"/>
  <c r="AQ195" i="2" s="1" a="1"/>
  <c r="AQ195" i="2" s="1"/>
  <c r="AP293" i="2"/>
  <c r="AP147" i="2"/>
  <c r="AP292" i="2"/>
  <c r="AP309" i="2"/>
  <c r="AP317" i="2"/>
  <c r="AP275" i="2"/>
  <c r="AQ275" i="2" s="1" a="1"/>
  <c r="AQ275" i="2" s="1"/>
  <c r="AP209" i="2"/>
  <c r="AQ209" i="2" s="1" a="1"/>
  <c r="AQ209" i="2" s="1"/>
  <c r="AP482" i="2"/>
  <c r="AP291" i="2"/>
  <c r="AQ291" i="2" s="1" a="1"/>
  <c r="AQ291" i="2" s="1"/>
  <c r="AP463" i="2"/>
  <c r="AP471" i="2"/>
  <c r="AP479" i="2"/>
  <c r="AP487" i="2"/>
  <c r="AP495" i="2"/>
  <c r="AP235" i="2"/>
  <c r="AQ235" i="2" s="1" a="1"/>
  <c r="AQ235" i="2" s="1"/>
  <c r="AP383" i="2"/>
  <c r="AQ383" i="2" s="1" a="1"/>
  <c r="AQ383" i="2" s="1"/>
  <c r="AP391" i="2"/>
  <c r="AP399" i="2"/>
  <c r="AP407" i="2"/>
  <c r="AP415" i="2"/>
  <c r="AP423" i="2"/>
  <c r="AP431" i="2"/>
  <c r="AP439" i="2"/>
  <c r="AQ439" i="2" s="1" a="1"/>
  <c r="AQ439" i="2" s="1"/>
  <c r="AP447" i="2"/>
  <c r="AP455" i="2"/>
  <c r="AQ455" i="2" s="1" a="1"/>
  <c r="AQ455" i="2" s="1"/>
  <c r="AP460" i="2"/>
  <c r="AP468" i="2"/>
  <c r="AP476" i="2"/>
  <c r="AP484" i="2"/>
  <c r="AP492" i="2"/>
  <c r="AQ492" i="2" s="1" a="1"/>
  <c r="AQ492" i="2" s="1"/>
  <c r="AP207" i="2"/>
  <c r="AQ207" i="2" s="1" a="1"/>
  <c r="AQ207" i="2" s="1"/>
  <c r="AP171" i="2"/>
  <c r="AQ171" i="2" s="1" a="1"/>
  <c r="AQ171" i="2" s="1"/>
  <c r="AP180" i="2"/>
  <c r="AP172" i="2"/>
  <c r="AP99" i="2"/>
  <c r="AQ99" i="2" s="1" a="1"/>
  <c r="AQ99" i="2" s="1"/>
  <c r="AP84" i="2"/>
  <c r="AQ84" i="2" s="1" a="1"/>
  <c r="AQ84" i="2" s="1"/>
  <c r="AP11" i="2"/>
  <c r="AQ11" i="2" s="1" a="1"/>
  <c r="AQ11" i="2" s="1"/>
  <c r="AP211" i="2"/>
  <c r="AQ211" i="2" s="1" a="1"/>
  <c r="AQ211" i="2" s="1"/>
  <c r="AP179" i="2"/>
  <c r="AQ179" i="2" s="1" a="1"/>
  <c r="AQ179" i="2" s="1"/>
  <c r="AP115" i="2"/>
  <c r="AQ115" i="2" s="1" a="1"/>
  <c r="AQ115" i="2" s="1"/>
  <c r="AP187" i="2"/>
  <c r="AQ187" i="2" s="1" a="1"/>
  <c r="AQ187" i="2" s="1"/>
  <c r="AP83" i="2"/>
  <c r="AQ83" i="2" s="1" a="1"/>
  <c r="AQ83" i="2" s="1"/>
  <c r="AP114" i="2"/>
  <c r="AP4" i="2"/>
  <c r="AQ4" i="2" s="1" a="1"/>
  <c r="AQ4" i="2" s="1"/>
  <c r="AP10" i="2"/>
  <c r="AQ10" i="2" s="1" a="1"/>
  <c r="AQ10" i="2" s="1"/>
  <c r="AP66" i="2"/>
  <c r="AQ66" i="2" s="1" a="1"/>
  <c r="AQ66" i="2" s="1"/>
  <c r="AP34" i="2"/>
  <c r="AQ34" i="2" s="1" a="1"/>
  <c r="AQ34" i="2" s="1"/>
  <c r="AP18" i="2"/>
  <c r="AQ18" i="2" s="1" a="1"/>
  <c r="AQ18" i="2" s="1"/>
  <c r="AP40" i="2"/>
  <c r="AQ40" i="2" s="1" a="1"/>
  <c r="AQ40" i="2" s="1"/>
  <c r="AP98" i="2"/>
  <c r="AQ98" i="2" s="1" a="1"/>
  <c r="AQ98" i="2" s="1"/>
  <c r="AP87" i="2"/>
  <c r="AQ87" i="2" s="1" a="1"/>
  <c r="AQ87" i="2" s="1"/>
  <c r="AP95" i="2"/>
  <c r="AQ95" i="2" s="1" a="1"/>
  <c r="AQ95" i="2" s="1"/>
  <c r="AP106" i="2"/>
  <c r="AQ106" i="2" s="1" a="1"/>
  <c r="AQ106" i="2" s="1"/>
  <c r="AP82" i="2"/>
  <c r="AQ82" i="2" s="1" a="1"/>
  <c r="AQ82" i="2" s="1"/>
  <c r="AP490" i="2"/>
  <c r="AP330" i="2"/>
  <c r="AP362" i="2"/>
  <c r="AQ362" i="2" s="1" a="1"/>
  <c r="AQ362" i="2" s="1"/>
  <c r="AP394" i="2"/>
  <c r="AP426" i="2"/>
  <c r="AP458" i="2"/>
  <c r="AP258" i="2"/>
  <c r="AQ258" i="2" s="1" a="1"/>
  <c r="AQ258" i="2" s="1"/>
  <c r="AP206" i="2"/>
  <c r="AQ206" i="2" s="1" a="1"/>
  <c r="AQ206" i="2" s="1"/>
  <c r="AP198" i="2"/>
  <c r="AQ198" i="2" s="1" a="1"/>
  <c r="AQ198" i="2" s="1"/>
  <c r="AP186" i="2"/>
  <c r="AQ186" i="2" s="1" a="1"/>
  <c r="AQ186" i="2" s="1"/>
  <c r="AP178" i="2"/>
  <c r="AQ178" i="2" s="1" a="1"/>
  <c r="AQ178" i="2" s="1"/>
  <c r="AP170" i="2"/>
  <c r="AP167" i="2"/>
  <c r="AP143" i="2"/>
  <c r="AQ143" i="2" s="1" a="1"/>
  <c r="AQ143" i="2" s="1"/>
  <c r="AP135" i="2"/>
  <c r="AQ135" i="2" s="1" a="1"/>
  <c r="AQ135" i="2" s="1"/>
  <c r="AP63" i="2"/>
  <c r="AQ63" i="2" s="1" a="1"/>
  <c r="AQ63" i="2" s="1"/>
  <c r="AP296" i="2"/>
  <c r="AQ296" i="2" s="1" a="1"/>
  <c r="AQ296" i="2" s="1"/>
  <c r="AP329" i="2"/>
  <c r="AQ329" i="2" s="1" a="1"/>
  <c r="AQ329" i="2" s="1"/>
  <c r="AP337" i="2"/>
  <c r="AP345" i="2"/>
  <c r="AP353" i="2"/>
  <c r="AP361" i="2"/>
  <c r="AP369" i="2"/>
  <c r="AQ369" i="2" s="1" a="1"/>
  <c r="AQ369" i="2" s="1"/>
  <c r="AP377" i="2"/>
  <c r="AQ377" i="2" s="1" a="1"/>
  <c r="AQ377" i="2" s="1"/>
  <c r="AP385" i="2"/>
  <c r="AQ385" i="2" s="1" a="1"/>
  <c r="AQ385" i="2" s="1"/>
  <c r="AP393" i="2"/>
  <c r="AP401" i="2"/>
  <c r="AQ401" i="2" s="1" a="1"/>
  <c r="AQ401" i="2" s="1"/>
  <c r="AP409" i="2"/>
  <c r="AP417" i="2"/>
  <c r="AP425" i="2"/>
  <c r="AQ425" i="2" s="1" a="1"/>
  <c r="AQ425" i="2" s="1"/>
  <c r="AP433" i="2"/>
  <c r="AQ433" i="2" s="1" a="1"/>
  <c r="AQ433" i="2" s="1"/>
  <c r="AP441" i="2"/>
  <c r="AQ441" i="2" s="1" a="1"/>
  <c r="AQ441" i="2" s="1"/>
  <c r="AP449" i="2"/>
  <c r="AQ449" i="2" s="1" a="1"/>
  <c r="AQ449" i="2" s="1"/>
  <c r="AP457" i="2"/>
  <c r="AQ457" i="2" s="1" a="1"/>
  <c r="AQ457" i="2" s="1"/>
  <c r="AP462" i="2"/>
  <c r="AP466" i="2"/>
  <c r="AP470" i="2"/>
  <c r="AP478" i="2"/>
  <c r="AP486" i="2"/>
  <c r="AQ486" i="2" s="1" a="1"/>
  <c r="AQ486" i="2" s="1"/>
  <c r="AP494" i="2"/>
  <c r="AQ494" i="2" s="1" a="1"/>
  <c r="AQ494" i="2" s="1"/>
  <c r="AP284" i="2"/>
  <c r="AQ284" i="2" s="1" a="1"/>
  <c r="AQ284" i="2" s="1"/>
  <c r="AP280" i="2"/>
  <c r="AQ280" i="2" s="1" a="1"/>
  <c r="AQ280" i="2" s="1"/>
  <c r="AP277" i="2"/>
  <c r="AQ277" i="2" s="1" a="1"/>
  <c r="AQ277" i="2" s="1"/>
  <c r="AP269" i="2"/>
  <c r="AP262" i="2"/>
  <c r="AP254" i="2"/>
  <c r="AP232" i="2"/>
  <c r="AQ232" i="2" s="1" a="1"/>
  <c r="AQ232" i="2" s="1"/>
  <c r="AP213" i="2"/>
  <c r="AQ213" i="2" s="1" a="1"/>
  <c r="AQ213" i="2" s="1"/>
  <c r="AP205" i="2"/>
  <c r="AQ205" i="2" s="1" a="1"/>
  <c r="AQ205" i="2" s="1"/>
  <c r="AP197" i="2"/>
  <c r="AQ197" i="2" s="1" a="1"/>
  <c r="AQ197" i="2" s="1"/>
  <c r="AP189" i="2"/>
  <c r="AP166" i="2"/>
  <c r="AP158" i="2"/>
  <c r="AP150" i="2"/>
  <c r="AP142" i="2"/>
  <c r="AQ142" i="2" s="1" a="1"/>
  <c r="AQ142" i="2" s="1"/>
  <c r="AP134" i="2"/>
  <c r="AQ134" i="2" s="1" a="1"/>
  <c r="AQ134" i="2" s="1"/>
  <c r="AP94" i="2"/>
  <c r="AQ94" i="2" s="1" a="1"/>
  <c r="AQ94" i="2" s="1"/>
  <c r="AP62" i="2"/>
  <c r="AQ62" i="2" s="1" a="1"/>
  <c r="AQ62" i="2" s="1"/>
  <c r="AP305" i="2"/>
  <c r="AQ305" i="2" s="1" a="1"/>
  <c r="AQ305" i="2" s="1"/>
  <c r="AP313" i="2"/>
  <c r="AP321" i="2"/>
  <c r="AP299" i="2"/>
  <c r="AQ299" i="2" s="1" a="1"/>
  <c r="AQ299" i="2" s="1"/>
  <c r="AP295" i="2"/>
  <c r="AQ295" i="2" s="1" a="1"/>
  <c r="AQ295" i="2" s="1"/>
  <c r="AP310" i="2"/>
  <c r="AQ310" i="2" s="1" a="1"/>
  <c r="AQ310" i="2" s="1"/>
  <c r="AP322" i="2"/>
  <c r="AQ322" i="2" s="1" a="1"/>
  <c r="AQ322" i="2" s="1"/>
  <c r="AP326" i="2"/>
  <c r="AQ326" i="2" s="1" a="1"/>
  <c r="AQ326" i="2" s="1"/>
  <c r="AP334" i="2"/>
  <c r="AP338" i="2"/>
  <c r="AP342" i="2"/>
  <c r="AP346" i="2"/>
  <c r="AQ346" i="2" s="1" a="1"/>
  <c r="AQ346" i="2" s="1"/>
  <c r="AP350" i="2"/>
  <c r="AQ350" i="2" s="1" a="1"/>
  <c r="AQ350" i="2" s="1"/>
  <c r="AP354" i="2"/>
  <c r="AQ354" i="2" s="1" a="1"/>
  <c r="AQ354" i="2" s="1"/>
  <c r="AP358" i="2"/>
  <c r="AQ358" i="2" s="1" a="1"/>
  <c r="AQ358" i="2" s="1"/>
  <c r="AP366" i="2"/>
  <c r="AQ366" i="2" s="1" a="1"/>
  <c r="AQ366" i="2" s="1"/>
  <c r="AP370" i="2"/>
  <c r="AQ370" i="2" s="1" a="1"/>
  <c r="AQ370" i="2" s="1"/>
  <c r="AP374" i="2"/>
  <c r="AP378" i="2"/>
  <c r="AP382" i="2"/>
  <c r="AQ382" i="2" s="1" a="1"/>
  <c r="AQ382" i="2" s="1"/>
  <c r="AP386" i="2"/>
  <c r="AQ386" i="2" s="1" a="1"/>
  <c r="AQ386" i="2" s="1"/>
  <c r="AP390" i="2"/>
  <c r="AQ390" i="2" s="1" a="1"/>
  <c r="AQ390" i="2" s="1"/>
  <c r="AP398" i="2"/>
  <c r="AQ398" i="2" s="1" a="1"/>
  <c r="AQ398" i="2" s="1"/>
  <c r="AP402" i="2"/>
  <c r="AP406" i="2"/>
  <c r="AQ406" i="2" s="1" a="1"/>
  <c r="AQ406" i="2" s="1"/>
  <c r="AP410" i="2"/>
  <c r="AP414" i="2"/>
  <c r="AP418" i="2"/>
  <c r="AQ418" i="2" s="1" a="1"/>
  <c r="AQ418" i="2" s="1"/>
  <c r="AP422" i="2"/>
  <c r="AP430" i="2"/>
  <c r="AQ430" i="2" s="1" a="1"/>
  <c r="AQ430" i="2" s="1"/>
  <c r="AP434" i="2"/>
  <c r="AQ434" i="2" s="1" a="1"/>
  <c r="AQ434" i="2" s="1"/>
  <c r="AP438" i="2"/>
  <c r="AP442" i="2"/>
  <c r="AP446" i="2"/>
  <c r="AP450" i="2"/>
  <c r="AP454" i="2"/>
  <c r="AQ454" i="2" s="1" a="1"/>
  <c r="AQ454" i="2" s="1"/>
  <c r="AP276" i="2"/>
  <c r="AQ276" i="2" s="1" a="1"/>
  <c r="AQ276" i="2" s="1"/>
  <c r="AP267" i="2"/>
  <c r="AQ267" i="2" s="1" a="1"/>
  <c r="AQ267" i="2" s="1"/>
  <c r="AP268" i="2"/>
  <c r="AQ268" i="2" s="1" a="1"/>
  <c r="AQ268" i="2" s="1"/>
  <c r="AP259" i="2"/>
  <c r="AQ259" i="2" s="1" a="1"/>
  <c r="AQ259" i="2" s="1"/>
  <c r="AP261" i="2"/>
  <c r="AQ261" i="2" s="1" a="1"/>
  <c r="AQ261" i="2" s="1"/>
  <c r="AP253" i="2"/>
  <c r="AP248" i="2"/>
  <c r="AP244" i="2"/>
  <c r="AQ244" i="2" s="1" a="1"/>
  <c r="AQ244" i="2" s="1"/>
  <c r="AP231" i="2"/>
  <c r="AQ231" i="2" s="1" a="1"/>
  <c r="AQ231" i="2" s="1"/>
  <c r="AP210" i="2"/>
  <c r="AQ210" i="2" s="1" a="1"/>
  <c r="AQ210" i="2" s="1"/>
  <c r="AP212" i="2"/>
  <c r="AQ212" i="2" s="1" a="1"/>
  <c r="AQ212" i="2" s="1"/>
  <c r="AP204" i="2"/>
  <c r="AQ204" i="2" s="1" a="1"/>
  <c r="AQ204" i="2" s="1"/>
  <c r="AP196" i="2"/>
  <c r="AP188" i="2"/>
  <c r="AP185" i="2"/>
  <c r="AP177" i="2"/>
  <c r="AQ177" i="2" s="1" a="1"/>
  <c r="AQ177" i="2" s="1"/>
  <c r="AP165" i="2"/>
  <c r="AQ165" i="2" s="1" a="1"/>
  <c r="AQ165" i="2" s="1"/>
  <c r="AP157" i="2"/>
  <c r="AQ157" i="2" s="1" a="1"/>
  <c r="AQ157" i="2" s="1"/>
  <c r="AP149" i="2"/>
  <c r="AQ149" i="2" s="1" a="1"/>
  <c r="AQ149" i="2" s="1"/>
  <c r="AP141" i="2"/>
  <c r="AQ141" i="2" s="1" a="1"/>
  <c r="AQ141" i="2" s="1"/>
  <c r="AP133" i="2"/>
  <c r="AQ133" i="2" s="1" a="1"/>
  <c r="AQ133" i="2" s="1"/>
  <c r="AP129" i="2"/>
  <c r="AP121" i="2"/>
  <c r="AP113" i="2"/>
  <c r="AQ113" i="2" s="1" a="1"/>
  <c r="AQ113" i="2" s="1"/>
  <c r="AP105" i="2"/>
  <c r="AQ105" i="2" s="1" a="1"/>
  <c r="AQ105" i="2" s="1"/>
  <c r="AP93" i="2"/>
  <c r="AQ93" i="2" s="1" a="1"/>
  <c r="AQ93" i="2" s="1"/>
  <c r="AP89" i="2"/>
  <c r="AQ89" i="2" s="1" a="1"/>
  <c r="AQ89" i="2" s="1"/>
  <c r="AP73" i="2"/>
  <c r="AQ73" i="2" s="1" a="1"/>
  <c r="AQ73" i="2" s="1"/>
  <c r="AP61" i="2"/>
  <c r="AQ61" i="2" s="1" a="1"/>
  <c r="AQ61" i="2" s="1"/>
  <c r="AP57" i="2"/>
  <c r="AQ57" i="2" s="1" a="1"/>
  <c r="AQ57" i="2" s="1"/>
  <c r="AP49" i="2"/>
  <c r="AQ49" i="2" s="1" a="1"/>
  <c r="AQ49" i="2" s="1"/>
  <c r="AP25" i="2"/>
  <c r="AQ25" i="2" s="1" a="1"/>
  <c r="AQ25" i="2" s="1"/>
  <c r="AP13" i="2"/>
  <c r="AQ13" i="2" s="1" a="1"/>
  <c r="AQ13" i="2" s="1"/>
  <c r="AP233" i="2"/>
  <c r="AQ233" i="2" s="1" a="1"/>
  <c r="AQ233" i="2" s="1"/>
  <c r="AP302" i="2"/>
  <c r="AQ302" i="2" s="1" a="1"/>
  <c r="AQ302" i="2" s="1"/>
  <c r="AP306" i="2"/>
  <c r="AQ306" i="2" s="1" a="1"/>
  <c r="AQ306" i="2" s="1"/>
  <c r="AP314" i="2"/>
  <c r="AQ314" i="2" s="1" a="1"/>
  <c r="AQ314" i="2" s="1"/>
  <c r="AP318" i="2"/>
  <c r="AP294" i="2"/>
  <c r="AP464" i="2"/>
  <c r="AP472" i="2"/>
  <c r="AQ472" i="2" s="1" a="1"/>
  <c r="AQ472" i="2" s="1"/>
  <c r="AP480" i="2"/>
  <c r="AQ480" i="2" s="1" a="1"/>
  <c r="AQ480" i="2" s="1"/>
  <c r="AP488" i="2"/>
  <c r="AQ488" i="2" s="1" a="1"/>
  <c r="AQ488" i="2" s="1"/>
  <c r="AP289" i="2"/>
  <c r="AQ289" i="2" s="1" a="1"/>
  <c r="AQ289" i="2" s="1"/>
  <c r="AP266" i="2"/>
  <c r="AQ266" i="2" s="1" a="1"/>
  <c r="AQ266" i="2" s="1"/>
  <c r="AP260" i="2"/>
  <c r="AP252" i="2"/>
  <c r="AP241" i="2"/>
  <c r="AQ241" i="2" s="1" a="1"/>
  <c r="AQ241" i="2" s="1"/>
  <c r="AP230" i="2"/>
  <c r="AQ230" i="2" s="1" a="1"/>
  <c r="AQ230" i="2" s="1"/>
  <c r="AP184" i="2"/>
  <c r="AQ184" i="2" s="1" a="1"/>
  <c r="AQ184" i="2" s="1"/>
  <c r="AP176" i="2"/>
  <c r="AQ176" i="2" s="1" a="1"/>
  <c r="AQ176" i="2" s="1"/>
  <c r="AP163" i="2"/>
  <c r="AQ163" i="2" s="1" a="1"/>
  <c r="AQ163" i="2" s="1"/>
  <c r="AP155" i="2"/>
  <c r="AP164" i="2"/>
  <c r="AP156" i="2"/>
  <c r="AP148" i="2"/>
  <c r="AQ148" i="2" s="1" a="1"/>
  <c r="AQ148" i="2" s="1"/>
  <c r="AP140" i="2"/>
  <c r="AQ140" i="2" s="1" a="1"/>
  <c r="AQ140" i="2" s="1"/>
  <c r="AP132" i="2"/>
  <c r="AQ132" i="2" s="1" a="1"/>
  <c r="AQ132" i="2" s="1"/>
  <c r="AP128" i="2"/>
  <c r="AQ128" i="2" s="1" a="1"/>
  <c r="AQ128" i="2" s="1"/>
  <c r="AP120" i="2"/>
  <c r="AQ120" i="2" s="1" a="1"/>
  <c r="AQ120" i="2" s="1"/>
  <c r="AP112" i="2"/>
  <c r="AQ112" i="2" s="1" a="1"/>
  <c r="AQ112" i="2" s="1"/>
  <c r="AP104" i="2"/>
  <c r="AQ104" i="2" s="1" a="1"/>
  <c r="AQ104" i="2" s="1"/>
  <c r="AP91" i="2"/>
  <c r="AQ91" i="2" s="1" a="1"/>
  <c r="AQ91" i="2" s="1"/>
  <c r="AP88" i="2"/>
  <c r="AQ88" i="2" s="1" a="1"/>
  <c r="AQ88" i="2" s="1"/>
  <c r="AP75" i="2"/>
  <c r="AQ75" i="2" s="1" a="1"/>
  <c r="AQ75" i="2" s="1"/>
  <c r="AP72" i="2"/>
  <c r="AQ72" i="2" s="1" a="1"/>
  <c r="AQ72" i="2" s="1"/>
  <c r="AP59" i="2"/>
  <c r="AQ59" i="2" s="1" a="1"/>
  <c r="AQ59" i="2" s="1"/>
  <c r="AP26" i="2"/>
  <c r="AQ26" i="2" s="1" a="1"/>
  <c r="AQ26" i="2" s="1"/>
  <c r="AP19" i="2"/>
  <c r="AQ19" i="2" s="1" a="1"/>
  <c r="AQ19" i="2" s="1"/>
  <c r="AP250" i="2"/>
  <c r="AP301" i="2"/>
  <c r="AP304" i="2"/>
  <c r="AQ304" i="2" s="1" a="1"/>
  <c r="AQ304" i="2" s="1"/>
  <c r="AP312" i="2"/>
  <c r="AQ312" i="2" s="1" a="1"/>
  <c r="AQ312" i="2" s="1"/>
  <c r="AP320" i="2"/>
  <c r="AQ320" i="2" s="1" a="1"/>
  <c r="AQ320" i="2" s="1"/>
  <c r="AP328" i="2"/>
  <c r="AQ328" i="2" s="1" a="1"/>
  <c r="AQ328" i="2" s="1"/>
  <c r="AP336" i="2"/>
  <c r="AQ336" i="2" s="1" a="1"/>
  <c r="AQ336" i="2" s="1"/>
  <c r="AP344" i="2"/>
  <c r="AQ344" i="2" s="1" a="1"/>
  <c r="AQ344" i="2" s="1"/>
  <c r="AP352" i="2"/>
  <c r="AP360" i="2"/>
  <c r="AP368" i="2"/>
  <c r="AQ368" i="2" s="1" a="1"/>
  <c r="AQ368" i="2" s="1"/>
  <c r="AP376" i="2"/>
  <c r="AQ376" i="2" s="1" a="1"/>
  <c r="AQ376" i="2" s="1"/>
  <c r="AP384" i="2"/>
  <c r="AQ384" i="2" s="1" a="1"/>
  <c r="AQ384" i="2" s="1"/>
  <c r="AP392" i="2"/>
  <c r="AQ392" i="2" s="1" a="1"/>
  <c r="AQ392" i="2" s="1"/>
  <c r="AP400" i="2"/>
  <c r="AP408" i="2"/>
  <c r="AQ408" i="2" s="1" a="1"/>
  <c r="AQ408" i="2" s="1"/>
  <c r="AP416" i="2"/>
  <c r="AP424" i="2"/>
  <c r="AP432" i="2"/>
  <c r="AQ432" i="2" s="1" a="1"/>
  <c r="AQ432" i="2" s="1"/>
  <c r="AP440" i="2"/>
  <c r="AQ440" i="2" s="1" a="1"/>
  <c r="AQ440" i="2" s="1"/>
  <c r="AP448" i="2"/>
  <c r="AQ448" i="2" s="1" a="1"/>
  <c r="AQ448" i="2" s="1"/>
  <c r="AP456" i="2"/>
  <c r="AQ456" i="2" s="1" a="1"/>
  <c r="AQ456" i="2" s="1"/>
  <c r="AP461" i="2"/>
  <c r="AP469" i="2"/>
  <c r="AQ469" i="2" s="1" a="1"/>
  <c r="AQ469" i="2" s="1"/>
  <c r="AP477" i="2"/>
  <c r="AP485" i="2"/>
  <c r="AP493" i="2"/>
  <c r="AQ493" i="2" s="1" a="1"/>
  <c r="AQ493" i="2" s="1"/>
  <c r="AP288" i="2"/>
  <c r="AQ288" i="2" s="1" a="1"/>
  <c r="AQ288" i="2" s="1"/>
  <c r="AP238" i="2"/>
  <c r="AQ238" i="2" s="1" a="1"/>
  <c r="AQ238" i="2" s="1"/>
  <c r="AP229" i="2"/>
  <c r="AQ229" i="2" s="1" a="1"/>
  <c r="AQ229" i="2" s="1"/>
  <c r="AP225" i="2"/>
  <c r="AQ225" i="2" s="1" a="1"/>
  <c r="AQ225" i="2" s="1"/>
  <c r="AP217" i="2"/>
  <c r="AQ217" i="2" s="1" a="1"/>
  <c r="AQ217" i="2" s="1"/>
  <c r="AP243" i="2"/>
  <c r="AP202" i="2"/>
  <c r="AP194" i="2"/>
  <c r="AQ194" i="2" s="1" a="1"/>
  <c r="AQ194" i="2" s="1"/>
  <c r="AP236" i="2"/>
  <c r="AQ236" i="2" s="1" a="1"/>
  <c r="AQ236" i="2" s="1"/>
  <c r="AP183" i="2"/>
  <c r="AQ183" i="2" s="1" a="1"/>
  <c r="AQ183" i="2" s="1"/>
  <c r="AP175" i="2"/>
  <c r="AQ175" i="2" s="1" a="1"/>
  <c r="AQ175" i="2" s="1"/>
  <c r="AP162" i="2"/>
  <c r="AQ162" i="2" s="1" a="1"/>
  <c r="AQ162" i="2" s="1"/>
  <c r="AP154" i="2"/>
  <c r="AQ154" i="2" s="1" a="1"/>
  <c r="AQ154" i="2" s="1"/>
  <c r="AP139" i="2"/>
  <c r="AP131" i="2"/>
  <c r="AP123" i="2"/>
  <c r="AQ123" i="2" s="1" a="1"/>
  <c r="AQ123" i="2" s="1"/>
  <c r="AP127" i="2"/>
  <c r="AQ127" i="2" s="1" a="1"/>
  <c r="AQ127" i="2" s="1"/>
  <c r="AP119" i="2"/>
  <c r="AQ119" i="2" s="1" a="1"/>
  <c r="AQ119" i="2" s="1"/>
  <c r="AP111" i="2"/>
  <c r="AQ111" i="2" s="1" a="1"/>
  <c r="AQ111" i="2" s="1"/>
  <c r="AP103" i="2"/>
  <c r="AQ103" i="2" s="1" a="1"/>
  <c r="AQ103" i="2" s="1"/>
  <c r="AP90" i="2"/>
  <c r="AQ90" i="2" s="1" a="1"/>
  <c r="AQ90" i="2" s="1"/>
  <c r="AP74" i="2"/>
  <c r="AQ74" i="2" s="1" a="1"/>
  <c r="AQ74" i="2" s="1"/>
  <c r="AP71" i="2"/>
  <c r="AQ71" i="2" s="1" a="1"/>
  <c r="AQ71" i="2" s="1"/>
  <c r="AP58" i="2"/>
  <c r="AQ58" i="2" s="1" a="1"/>
  <c r="AQ58" i="2" s="1"/>
  <c r="AP50" i="2"/>
  <c r="AQ50" i="2" s="1" a="1"/>
  <c r="AQ50" i="2" s="1"/>
  <c r="AP55" i="2"/>
  <c r="AQ55" i="2" s="1" a="1"/>
  <c r="AQ55" i="2" s="1"/>
  <c r="AP47" i="2"/>
  <c r="AQ47" i="2" s="1" a="1"/>
  <c r="AQ47" i="2" s="1"/>
  <c r="AP30" i="2"/>
  <c r="AQ30" i="2" s="1" a="1"/>
  <c r="AQ30" i="2" s="1"/>
  <c r="AP300" i="2"/>
  <c r="AQ300" i="2" s="1" a="1"/>
  <c r="AQ300" i="2" s="1"/>
  <c r="AP325" i="2"/>
  <c r="AP333" i="2"/>
  <c r="AP341" i="2"/>
  <c r="AQ341" i="2" s="1" a="1"/>
  <c r="AQ341" i="2" s="1"/>
  <c r="AP349" i="2"/>
  <c r="AQ349" i="2" s="1" a="1"/>
  <c r="AQ349" i="2" s="1"/>
  <c r="AP357" i="2"/>
  <c r="AQ357" i="2" s="1" a="1"/>
  <c r="AQ357" i="2" s="1"/>
  <c r="AP365" i="2"/>
  <c r="AQ365" i="2" s="1" a="1"/>
  <c r="AQ365" i="2" s="1"/>
  <c r="AP373" i="2"/>
  <c r="AQ373" i="2" s="1" a="1"/>
  <c r="AQ373" i="2" s="1"/>
  <c r="AP381" i="2"/>
  <c r="AP389" i="2"/>
  <c r="AP397" i="2"/>
  <c r="AP405" i="2"/>
  <c r="AQ405" i="2" s="1" a="1"/>
  <c r="AQ405" i="2" s="1"/>
  <c r="AP413" i="2"/>
  <c r="AQ413" i="2" s="1" a="1"/>
  <c r="AQ413" i="2" s="1"/>
  <c r="AP421" i="2"/>
  <c r="AQ421" i="2" s="1" a="1"/>
  <c r="AQ421" i="2" s="1"/>
  <c r="AP429" i="2"/>
  <c r="AQ429" i="2" s="1" a="1"/>
  <c r="AQ429" i="2" s="1"/>
  <c r="AP437" i="2"/>
  <c r="AP445" i="2"/>
  <c r="AQ445" i="2" s="1" a="1"/>
  <c r="AQ445" i="2" s="1"/>
  <c r="AP453" i="2"/>
  <c r="AP273" i="2"/>
  <c r="AP265" i="2"/>
  <c r="AQ265" i="2" s="1" a="1"/>
  <c r="AQ265" i="2" s="1"/>
  <c r="AP237" i="2"/>
  <c r="AQ237" i="2" s="1" a="1"/>
  <c r="AQ237" i="2" s="1"/>
  <c r="AP224" i="2"/>
  <c r="AQ224" i="2" s="1" a="1"/>
  <c r="AQ224" i="2" s="1"/>
  <c r="AP216" i="2"/>
  <c r="AQ216" i="2" s="1" a="1"/>
  <c r="AQ216" i="2" s="1"/>
  <c r="AP201" i="2"/>
  <c r="AQ201" i="2" s="1" a="1"/>
  <c r="AQ201" i="2" s="1"/>
  <c r="AP193" i="2"/>
  <c r="AQ193" i="2" s="1" a="1"/>
  <c r="AQ193" i="2" s="1"/>
  <c r="AP239" i="2"/>
  <c r="AP182" i="2"/>
  <c r="AP174" i="2"/>
  <c r="AQ174" i="2" s="1" a="1"/>
  <c r="AQ174" i="2" s="1"/>
  <c r="AP146" i="2"/>
  <c r="AQ146" i="2" s="1" a="1"/>
  <c r="AQ146" i="2" s="1"/>
  <c r="AP138" i="2"/>
  <c r="AQ138" i="2" s="1" a="1"/>
  <c r="AQ138" i="2" s="1"/>
  <c r="AP130" i="2"/>
  <c r="AQ130" i="2" s="1" a="1"/>
  <c r="AQ130" i="2" s="1"/>
  <c r="AP122" i="2"/>
  <c r="AQ122" i="2" s="1" a="1"/>
  <c r="AQ122" i="2" s="1"/>
  <c r="AP126" i="2"/>
  <c r="AQ126" i="2" s="1" a="1"/>
  <c r="AQ126" i="2" s="1"/>
  <c r="AP118" i="2"/>
  <c r="AP110" i="2"/>
  <c r="AP102" i="2"/>
  <c r="AQ102" i="2" s="1" a="1"/>
  <c r="AQ102" i="2" s="1"/>
  <c r="AP86" i="2"/>
  <c r="AQ86" i="2" s="1" a="1"/>
  <c r="AQ86" i="2" s="1"/>
  <c r="AP78" i="2"/>
  <c r="AQ78" i="2" s="1" a="1"/>
  <c r="AQ78" i="2" s="1"/>
  <c r="AP70" i="2"/>
  <c r="AQ70" i="2" s="1" a="1"/>
  <c r="AQ70" i="2" s="1"/>
  <c r="AP54" i="2"/>
  <c r="AQ54" i="2" s="1" a="1"/>
  <c r="AQ54" i="2" s="1"/>
  <c r="AP37" i="2"/>
  <c r="AQ37" i="2" s="1" a="1"/>
  <c r="AQ37" i="2" s="1"/>
  <c r="AP33" i="2"/>
  <c r="AQ33" i="2" s="1" a="1"/>
  <c r="AQ33" i="2" s="1"/>
  <c r="AP278" i="2"/>
  <c r="AP459" i="2"/>
  <c r="AQ459" i="2" s="1" a="1"/>
  <c r="AQ459" i="2" s="1"/>
  <c r="AP467" i="2"/>
  <c r="AQ467" i="2" s="1" a="1"/>
  <c r="AQ467" i="2" s="1"/>
  <c r="AP475" i="2"/>
  <c r="AQ475" i="2" s="1" a="1"/>
  <c r="AQ475" i="2" s="1"/>
  <c r="AP483" i="2"/>
  <c r="AQ483" i="2" s="1" a="1"/>
  <c r="AQ483" i="2" s="1"/>
  <c r="AP491" i="2"/>
  <c r="AP290" i="2"/>
  <c r="AQ290" i="2" s="1" a="1"/>
  <c r="AQ290" i="2" s="1"/>
  <c r="AP287" i="2"/>
  <c r="AP274" i="2"/>
  <c r="AP272" i="2"/>
  <c r="AQ272" i="2" s="1" a="1"/>
  <c r="AQ272" i="2" s="1"/>
  <c r="AP264" i="2"/>
  <c r="AQ264" i="2" s="1" a="1"/>
  <c r="AQ264" i="2" s="1"/>
  <c r="AP257" i="2"/>
  <c r="AQ257" i="2" s="1" a="1"/>
  <c r="AQ257" i="2" s="1"/>
  <c r="AP227" i="2"/>
  <c r="AQ227" i="2" s="1" a="1"/>
  <c r="AQ227" i="2" s="1"/>
  <c r="AP219" i="2"/>
  <c r="AQ219" i="2" s="1" a="1"/>
  <c r="AQ219" i="2" s="1"/>
  <c r="AP223" i="2"/>
  <c r="AQ223" i="2" s="1" a="1"/>
  <c r="AQ223" i="2" s="1"/>
  <c r="AP208" i="2"/>
  <c r="AP200" i="2"/>
  <c r="AP192" i="2"/>
  <c r="AQ192" i="2" s="1" a="1"/>
  <c r="AQ192" i="2" s="1"/>
  <c r="AP240" i="2"/>
  <c r="AQ240" i="2" s="1" a="1"/>
  <c r="AQ240" i="2" s="1"/>
  <c r="AP181" i="2"/>
  <c r="AQ181" i="2" s="1" a="1"/>
  <c r="AQ181" i="2" s="1"/>
  <c r="AP173" i="2"/>
  <c r="AQ173" i="2" s="1" a="1"/>
  <c r="AQ173" i="2" s="1"/>
  <c r="AP169" i="2"/>
  <c r="AQ169" i="2" s="1" a="1"/>
  <c r="AQ169" i="2" s="1"/>
  <c r="AP161" i="2"/>
  <c r="AQ161" i="2" s="1" a="1"/>
  <c r="AQ161" i="2" s="1"/>
  <c r="AP153" i="2"/>
  <c r="AP145" i="2"/>
  <c r="AP137" i="2"/>
  <c r="AQ137" i="2" s="1" a="1"/>
  <c r="AQ137" i="2" s="1"/>
  <c r="AP125" i="2"/>
  <c r="AQ125" i="2" s="1" a="1"/>
  <c r="AQ125" i="2" s="1"/>
  <c r="AP117" i="2"/>
  <c r="AQ117" i="2" s="1" a="1"/>
  <c r="AQ117" i="2" s="1"/>
  <c r="AP109" i="2"/>
  <c r="AQ109" i="2" s="1" a="1"/>
  <c r="AQ109" i="2" s="1"/>
  <c r="AP101" i="2"/>
  <c r="AQ101" i="2" s="1" a="1"/>
  <c r="AQ101" i="2" s="1"/>
  <c r="AP97" i="2"/>
  <c r="AQ97" i="2" s="1" a="1"/>
  <c r="AQ97" i="2" s="1"/>
  <c r="AP85" i="2"/>
  <c r="AQ85" i="2" s="1" a="1"/>
  <c r="AQ85" i="2" s="1"/>
  <c r="AP81" i="2"/>
  <c r="AQ81" i="2" s="1" a="1"/>
  <c r="AQ81" i="2" s="1"/>
  <c r="AP77" i="2"/>
  <c r="AQ77" i="2" s="1" a="1"/>
  <c r="AQ77" i="2" s="1"/>
  <c r="AP69" i="2"/>
  <c r="AQ69" i="2" s="1" a="1"/>
  <c r="AQ69" i="2" s="1"/>
  <c r="AP65" i="2"/>
  <c r="AQ65" i="2" s="1" a="1"/>
  <c r="AQ65" i="2" s="1"/>
  <c r="AP53" i="2"/>
  <c r="AQ53" i="2" s="1" a="1"/>
  <c r="AQ53" i="2" s="1"/>
  <c r="AP36" i="2"/>
  <c r="AQ36" i="2" s="1" a="1"/>
  <c r="AQ36" i="2" s="1"/>
  <c r="AP32" i="2"/>
  <c r="AQ32" i="2" s="1" a="1"/>
  <c r="AQ32" i="2" s="1"/>
  <c r="AP28" i="2"/>
  <c r="AQ28" i="2" s="1" a="1"/>
  <c r="AQ28" i="2" s="1"/>
  <c r="AP298" i="2"/>
  <c r="AP303" i="2"/>
  <c r="AQ303" i="2" s="1" a="1"/>
  <c r="AQ303" i="2" s="1"/>
  <c r="AP307" i="2"/>
  <c r="AQ307" i="2" s="1" a="1"/>
  <c r="AQ307" i="2" s="1"/>
  <c r="AP315" i="2"/>
  <c r="AQ315" i="2" s="1" a="1"/>
  <c r="AQ315" i="2" s="1"/>
  <c r="AP323" i="2"/>
  <c r="AQ323" i="2" s="1" a="1"/>
  <c r="AQ323" i="2" s="1"/>
  <c r="AP331" i="2"/>
  <c r="AQ331" i="2" s="1" a="1"/>
  <c r="AQ331" i="2" s="1"/>
  <c r="AP339" i="2"/>
  <c r="AQ339" i="2" s="1" a="1"/>
  <c r="AQ339" i="2" s="1"/>
  <c r="AP347" i="2"/>
  <c r="AP355" i="2"/>
  <c r="AP363" i="2"/>
  <c r="AQ363" i="2" s="1" a="1"/>
  <c r="AQ363" i="2" s="1"/>
  <c r="AP371" i="2"/>
  <c r="AQ371" i="2" s="1" a="1"/>
  <c r="AQ371" i="2" s="1"/>
  <c r="AP379" i="2"/>
  <c r="AQ379" i="2" s="1" a="1"/>
  <c r="AQ379" i="2" s="1"/>
  <c r="AP387" i="2"/>
  <c r="AQ387" i="2" s="1" a="1"/>
  <c r="AQ387" i="2" s="1"/>
  <c r="AP395" i="2"/>
  <c r="AQ395" i="2" s="1" a="1"/>
  <c r="AQ395" i="2" s="1"/>
  <c r="AP403" i="2"/>
  <c r="AQ403" i="2" s="1" a="1"/>
  <c r="AQ403" i="2" s="1"/>
  <c r="AP411" i="2"/>
  <c r="AP419" i="2"/>
  <c r="AP427" i="2"/>
  <c r="AQ427" i="2" s="1" a="1"/>
  <c r="AQ427" i="2" s="1"/>
  <c r="AP435" i="2"/>
  <c r="AQ435" i="2" s="1" a="1"/>
  <c r="AQ435" i="2" s="1"/>
  <c r="AP443" i="2"/>
  <c r="AQ443" i="2" s="1" a="1"/>
  <c r="AQ443" i="2" s="1"/>
  <c r="AP451" i="2"/>
  <c r="AQ451" i="2" s="1" a="1"/>
  <c r="AQ451" i="2" s="1"/>
  <c r="AP286" i="2"/>
  <c r="AQ286" i="2" s="1" a="1"/>
  <c r="AQ286" i="2" s="1"/>
  <c r="AP283" i="2"/>
  <c r="AQ283" i="2" s="1" a="1"/>
  <c r="AQ283" i="2" s="1"/>
  <c r="AP282" i="2"/>
  <c r="AP279" i="2"/>
  <c r="AP271" i="2"/>
  <c r="AQ271" i="2" s="1" a="1"/>
  <c r="AQ271" i="2" s="1"/>
  <c r="AP263" i="2"/>
  <c r="AQ263" i="2" s="1" a="1"/>
  <c r="AQ263" i="2" s="1"/>
  <c r="AP256" i="2"/>
  <c r="AQ256" i="2" s="1" a="1"/>
  <c r="AQ256" i="2" s="1"/>
  <c r="AP247" i="2"/>
  <c r="AQ247" i="2" s="1" a="1"/>
  <c r="AQ247" i="2" s="1"/>
  <c r="AP234" i="2"/>
  <c r="AQ234" i="2" s="1" a="1"/>
  <c r="AQ234" i="2" s="1"/>
  <c r="AP226" i="2"/>
  <c r="AQ226" i="2" s="1" a="1"/>
  <c r="AQ226" i="2" s="1"/>
  <c r="AP218" i="2"/>
  <c r="AP222" i="2"/>
  <c r="AP215" i="2"/>
  <c r="AQ215" i="2" s="1" a="1"/>
  <c r="AQ215" i="2" s="1"/>
  <c r="AP199" i="2"/>
  <c r="AQ199" i="2" s="1" a="1"/>
  <c r="AQ199" i="2" s="1"/>
  <c r="AP191" i="2"/>
  <c r="AQ191" i="2" s="1" a="1"/>
  <c r="AQ191" i="2" s="1"/>
  <c r="AP242" i="2"/>
  <c r="AQ242" i="2" s="1" a="1"/>
  <c r="AQ242" i="2" s="1"/>
  <c r="AP168" i="2"/>
  <c r="AQ168" i="2" s="1" a="1"/>
  <c r="AQ168" i="2" s="1"/>
  <c r="AP160" i="2"/>
  <c r="AQ160" i="2" s="1" a="1"/>
  <c r="AQ160" i="2" s="1"/>
  <c r="AP152" i="2"/>
  <c r="AP144" i="2"/>
  <c r="AP136" i="2"/>
  <c r="AQ136" i="2" s="1" a="1"/>
  <c r="AQ136" i="2" s="1"/>
  <c r="AP124" i="2"/>
  <c r="AQ124" i="2" s="1" a="1"/>
  <c r="AQ124" i="2" s="1"/>
  <c r="AP107" i="2"/>
  <c r="AQ107" i="2" s="1" a="1"/>
  <c r="AQ107" i="2" s="1"/>
  <c r="AP116" i="2"/>
  <c r="AQ116" i="2" s="1" a="1"/>
  <c r="AQ116" i="2" s="1"/>
  <c r="AP108" i="2"/>
  <c r="AQ108" i="2" s="1" a="1"/>
  <c r="AQ108" i="2" s="1"/>
  <c r="AP100" i="2"/>
  <c r="AQ100" i="2" s="1" a="1"/>
  <c r="AQ100" i="2" s="1"/>
  <c r="AP96" i="2"/>
  <c r="AQ96" i="2" s="1" a="1"/>
  <c r="AQ96" i="2" s="1"/>
  <c r="AP92" i="2"/>
  <c r="AQ92" i="2" s="1" a="1"/>
  <c r="AQ92" i="2" s="1"/>
  <c r="AP80" i="2"/>
  <c r="AQ80" i="2" s="1" a="1"/>
  <c r="AQ80" i="2" s="1"/>
  <c r="AP76" i="2"/>
  <c r="AQ76" i="2" s="1" a="1"/>
  <c r="AQ76" i="2" s="1"/>
  <c r="AP67" i="2"/>
  <c r="AQ67" i="2" s="1" a="1"/>
  <c r="AQ67" i="2" s="1"/>
  <c r="AP68" i="2"/>
  <c r="AQ68" i="2" s="1" a="1"/>
  <c r="AQ68" i="2" s="1"/>
  <c r="AP64" i="2"/>
  <c r="AQ64" i="2" s="1" a="1"/>
  <c r="AQ64" i="2" s="1"/>
  <c r="AP56" i="2"/>
  <c r="AQ56" i="2" s="1" a="1"/>
  <c r="AQ56" i="2" s="1"/>
  <c r="AP48" i="2"/>
  <c r="AQ48" i="2" s="1" a="1"/>
  <c r="AQ48" i="2" s="1"/>
  <c r="AP31" i="2"/>
  <c r="AQ31" i="2" s="1" a="1"/>
  <c r="AQ31" i="2" s="1"/>
  <c r="AP39" i="2"/>
  <c r="AQ39" i="2" s="1" a="1"/>
  <c r="AQ39" i="2" s="1"/>
  <c r="AP24" i="2"/>
  <c r="AQ24" i="2" s="1" a="1"/>
  <c r="AQ24" i="2" s="1"/>
  <c r="AP12" i="2"/>
  <c r="AQ12" i="2" s="1" a="1"/>
  <c r="AQ12" i="2" s="1"/>
  <c r="AP46" i="2"/>
  <c r="AQ46" i="2" s="1" a="1"/>
  <c r="AQ46" i="2" s="1"/>
  <c r="AP38" i="2"/>
  <c r="AQ38" i="2" s="1" a="1"/>
  <c r="AQ38" i="2" s="1"/>
  <c r="AP23" i="2"/>
  <c r="AQ23" i="2" s="1" a="1"/>
  <c r="AQ23" i="2" s="1"/>
  <c r="AP29" i="2"/>
  <c r="AQ29" i="2" s="1" a="1"/>
  <c r="AQ29" i="2" s="1"/>
  <c r="AP45" i="2"/>
  <c r="AQ45" i="2" s="1" a="1"/>
  <c r="AQ45" i="2" s="1"/>
  <c r="AP22" i="2"/>
  <c r="AQ22" i="2" s="1" a="1"/>
  <c r="AQ22" i="2" s="1"/>
  <c r="AP44" i="2"/>
  <c r="AQ44" i="2" s="1" a="1"/>
  <c r="AQ44" i="2" s="1"/>
  <c r="AP21" i="2"/>
  <c r="AQ21" i="2" s="1" a="1"/>
  <c r="AQ21" i="2" s="1"/>
  <c r="AP17" i="2"/>
  <c r="AQ17" i="2" s="1" a="1"/>
  <c r="AQ17" i="2" s="1"/>
  <c r="AP9" i="2"/>
  <c r="AQ9" i="2" s="1" a="1"/>
  <c r="AQ9" i="2" s="1"/>
  <c r="AP60" i="2"/>
  <c r="AQ60" i="2" s="1" a="1"/>
  <c r="AQ60" i="2" s="1"/>
  <c r="AP52" i="2"/>
  <c r="AQ52" i="2" s="1" a="1"/>
  <c r="AQ52" i="2" s="1"/>
  <c r="AP35" i="2"/>
  <c r="AQ35" i="2" s="1" a="1"/>
  <c r="AQ35" i="2" s="1"/>
  <c r="AP27" i="2"/>
  <c r="AQ27" i="2" s="1" a="1"/>
  <c r="AQ27" i="2" s="1"/>
  <c r="AP43" i="2"/>
  <c r="AQ43" i="2" s="1" a="1"/>
  <c r="AQ43" i="2" s="1"/>
  <c r="AP20" i="2"/>
  <c r="AQ20" i="2" s="1" a="1"/>
  <c r="AQ20" i="2" s="1"/>
  <c r="AP16" i="2"/>
  <c r="AQ16" i="2" s="1" a="1"/>
  <c r="AQ16" i="2" s="1"/>
  <c r="AP8" i="2"/>
  <c r="AQ8" i="2" s="1" a="1"/>
  <c r="AQ8" i="2" s="1"/>
  <c r="AP42" i="2"/>
  <c r="AQ42" i="2" s="1" a="1"/>
  <c r="AQ42" i="2" s="1"/>
  <c r="AP15" i="2"/>
  <c r="AQ15" i="2" s="1" a="1"/>
  <c r="AQ15" i="2" s="1"/>
  <c r="AP7" i="2"/>
  <c r="AQ7" i="2" s="1" a="1"/>
  <c r="AQ7" i="2" s="1"/>
  <c r="AP6" i="2"/>
  <c r="AQ6" i="2" s="1" a="1"/>
  <c r="AQ6" i="2" s="1"/>
  <c r="AP41" i="2"/>
  <c r="AQ41" i="2" s="1" a="1"/>
  <c r="AQ41" i="2" s="1"/>
  <c r="AP14" i="2"/>
  <c r="AQ14" i="2" s="1" a="1"/>
  <c r="AQ14" i="2" s="1"/>
  <c r="AP5" i="2"/>
  <c r="AQ5" i="2" s="1" a="1"/>
  <c r="AQ5" i="2" s="1"/>
  <c r="AP3" i="2"/>
  <c r="AQ3" i="2" s="1" a="1"/>
  <c r="AQ3" i="2" s="1"/>
  <c r="AP2" i="2"/>
  <c r="AQ2" i="2" s="1" a="1"/>
  <c r="AQ2" i="2" s="1"/>
  <c r="AQ250" i="2" a="1"/>
  <c r="AQ250" i="2" s="1"/>
  <c r="AQ166" i="2" a="1"/>
  <c r="AQ166" i="2" s="1"/>
  <c r="AQ182" i="2" a="1"/>
  <c r="AQ182" i="2" s="1"/>
  <c r="AQ332" i="2" a="1"/>
  <c r="AQ332" i="2" s="1"/>
  <c r="AQ340" i="2" a="1"/>
  <c r="AQ340" i="2" s="1"/>
  <c r="AQ465" i="2" a="1"/>
  <c r="AQ465" i="2" s="1"/>
  <c r="AQ214" i="2" a="1"/>
  <c r="AQ214" i="2" s="1"/>
  <c r="AQ321" i="2" a="1"/>
  <c r="AQ321" i="2" s="1"/>
  <c r="AQ337" i="2" a="1"/>
  <c r="AQ337" i="2" s="1"/>
  <c r="AQ345" i="2" a="1"/>
  <c r="AQ345" i="2" s="1"/>
  <c r="AQ393" i="2" a="1"/>
  <c r="AQ393" i="2" s="1"/>
  <c r="AQ409" i="2" a="1"/>
  <c r="AQ409" i="2" s="1"/>
  <c r="AQ317" i="2" a="1"/>
  <c r="AQ317" i="2" s="1"/>
  <c r="AQ463" i="2" a="1"/>
  <c r="AQ463" i="2" s="1"/>
  <c r="AQ471" i="2" a="1"/>
  <c r="AQ471" i="2" s="1"/>
  <c r="AQ431" i="2" a="1"/>
  <c r="AQ431" i="2" s="1"/>
  <c r="AQ447" i="2" a="1"/>
  <c r="AQ447" i="2" s="1"/>
  <c r="AQ460" i="2" a="1"/>
  <c r="AQ460" i="2" s="1"/>
  <c r="AQ287" i="2" a="1"/>
  <c r="AQ287" i="2" s="1"/>
  <c r="AQ248" i="2" a="1"/>
  <c r="AQ248" i="2" s="1"/>
  <c r="AQ319" i="2" a="1"/>
  <c r="AQ319" i="2" s="1"/>
  <c r="AQ327" i="2" a="1"/>
  <c r="AQ327" i="2" s="1"/>
  <c r="AQ292" i="2" a="1"/>
  <c r="AQ292" i="2" s="1"/>
  <c r="AQ208" i="2" a="1"/>
  <c r="AQ208" i="2" s="1"/>
  <c r="AQ490" i="2" a="1"/>
  <c r="AQ490" i="2" s="1"/>
  <c r="AQ378" i="2" a="1"/>
  <c r="AQ378" i="2" s="1"/>
  <c r="AQ260" i="2" a="1"/>
  <c r="AQ260" i="2" s="1"/>
  <c r="AQ220" i="2" a="1"/>
  <c r="AQ220" i="2" s="1"/>
  <c r="AQ410" i="2" a="1"/>
  <c r="AQ410" i="2" s="1"/>
  <c r="AQ442" i="2" a="1"/>
  <c r="AQ442" i="2" s="1"/>
  <c r="AQ245" i="2" a="1"/>
  <c r="AQ245" i="2" s="1"/>
  <c r="AQ285" i="2" a="1"/>
  <c r="AQ285" i="2" s="1"/>
  <c r="AQ496" i="2" a="1"/>
  <c r="AQ496" i="2" s="1"/>
  <c r="AQ121" i="2" a="1"/>
  <c r="AQ121" i="2" s="1"/>
  <c r="AQ394" i="2" a="1"/>
  <c r="AQ394" i="2" s="1"/>
  <c r="AQ426" i="2" a="1"/>
  <c r="AQ426" i="2" s="1"/>
  <c r="AQ301" i="2" a="1"/>
  <c r="AQ301" i="2" s="1"/>
  <c r="AQ352" i="2" a="1"/>
  <c r="AQ352" i="2" s="1"/>
  <c r="AQ360" i="2" a="1"/>
  <c r="AQ360" i="2" s="1"/>
  <c r="AQ416" i="2" a="1"/>
  <c r="AQ416" i="2" s="1"/>
  <c r="AQ461" i="2" a="1"/>
  <c r="AQ461" i="2" s="1"/>
  <c r="AQ269" i="2" a="1"/>
  <c r="AQ269" i="2" s="1"/>
  <c r="AQ466" i="2" a="1"/>
  <c r="AQ466" i="2" s="1"/>
  <c r="AQ309" i="2" a="1"/>
  <c r="AQ309" i="2" s="1"/>
  <c r="AQ325" i="2" a="1"/>
  <c r="AQ325" i="2" s="1"/>
  <c r="AQ333" i="2" a="1"/>
  <c r="AQ333" i="2" s="1"/>
  <c r="AQ389" i="2" a="1"/>
  <c r="AQ389" i="2" s="1"/>
  <c r="AQ397" i="2" a="1"/>
  <c r="AQ397" i="2" s="1"/>
  <c r="AQ185" i="2" a="1"/>
  <c r="AQ185" i="2" s="1"/>
  <c r="AQ347" i="2" a="1"/>
  <c r="AQ347" i="2" s="1"/>
  <c r="AQ482" i="2" a="1"/>
  <c r="AQ482" i="2" s="1"/>
  <c r="AQ420" i="2" a="1"/>
  <c r="AQ420" i="2" s="1"/>
  <c r="AQ428" i="2" a="1"/>
  <c r="AQ428" i="2" s="1"/>
  <c r="AQ436" i="2" a="1"/>
  <c r="AQ436" i="2" s="1"/>
  <c r="AQ452" i="2" a="1"/>
  <c r="AQ452" i="2" s="1"/>
  <c r="AQ282" i="2" a="1"/>
  <c r="AQ282" i="2" s="1"/>
  <c r="AQ221" i="2" a="1"/>
  <c r="AQ221" i="2" s="1"/>
  <c r="AQ158" i="2" a="1"/>
  <c r="AQ158" i="2" s="1"/>
  <c r="AQ145" i="2" a="1"/>
  <c r="AQ145" i="2" s="1"/>
  <c r="AQ372" i="2" a="1"/>
  <c r="AQ372" i="2" s="1"/>
  <c r="AQ262" i="2" a="1"/>
  <c r="AQ262" i="2" s="1"/>
  <c r="AQ249" i="2" a="1"/>
  <c r="AQ249" i="2" s="1"/>
  <c r="AQ228" i="2" a="1"/>
  <c r="AQ228" i="2" s="1"/>
  <c r="AQ243" i="2" a="1"/>
  <c r="AQ243" i="2" s="1"/>
  <c r="AQ188" i="2" a="1"/>
  <c r="AQ188" i="2" s="1"/>
  <c r="AQ388" i="2" a="1"/>
  <c r="AQ388" i="2" s="1"/>
  <c r="AQ298" i="2" a="1"/>
  <c r="AQ298" i="2" s="1"/>
  <c r="AQ172" i="2" a="1"/>
  <c r="AQ172" i="2" s="1"/>
  <c r="AQ164" i="2" a="1"/>
  <c r="AQ164" i="2" s="1"/>
  <c r="AQ156" i="2" a="1"/>
  <c r="AQ156" i="2" s="1"/>
  <c r="AQ152" i="2" a="1"/>
  <c r="AQ152" i="2" s="1"/>
  <c r="AQ147" i="2" a="1"/>
  <c r="AQ147" i="2" s="1"/>
  <c r="AQ491" i="2" a="1"/>
  <c r="AQ491" i="2" s="1"/>
  <c r="AQ252" i="2" a="1"/>
  <c r="AQ252" i="2" s="1"/>
  <c r="AQ131" i="2" a="1"/>
  <c r="AQ131" i="2" s="1"/>
  <c r="AQ380" i="2" a="1"/>
  <c r="AQ380" i="2" s="1"/>
  <c r="AQ396" i="2" a="1"/>
  <c r="AQ396" i="2" s="1"/>
  <c r="AQ355" i="2" a="1"/>
  <c r="AQ355" i="2" s="1"/>
  <c r="AQ411" i="2" a="1"/>
  <c r="AQ411" i="2" s="1"/>
  <c r="AQ419" i="2" a="1"/>
  <c r="AQ419" i="2" s="1"/>
  <c r="AQ470" i="2" a="1"/>
  <c r="AQ470" i="2" s="1"/>
  <c r="AQ478" i="2" a="1"/>
  <c r="AQ478" i="2" s="1"/>
  <c r="AQ278" i="2" a="1"/>
  <c r="AQ278" i="2" s="1"/>
  <c r="AQ239" i="2" a="1"/>
  <c r="AQ239" i="2" s="1"/>
  <c r="AQ155" i="2" a="1"/>
  <c r="AQ155" i="2" s="1"/>
  <c r="AQ338" i="2" a="1"/>
  <c r="AQ338" i="2" s="1"/>
  <c r="AQ318" i="2" a="1"/>
  <c r="AQ318" i="2" s="1"/>
  <c r="AQ334" i="2" a="1"/>
  <c r="AQ334" i="2" s="1"/>
  <c r="AQ342" i="2" a="1"/>
  <c r="AQ342" i="2" s="1"/>
  <c r="AQ374" i="2" a="1"/>
  <c r="AQ374" i="2" s="1"/>
  <c r="AQ422" i="2" a="1"/>
  <c r="AQ422" i="2" s="1"/>
  <c r="AQ438" i="2" a="1"/>
  <c r="AQ438" i="2" s="1"/>
  <c r="AQ446" i="2" a="1"/>
  <c r="AQ446" i="2" s="1"/>
  <c r="AQ222" i="2" a="1"/>
  <c r="AQ222" i="2" s="1"/>
  <c r="AQ335" i="2" a="1"/>
  <c r="AQ335" i="2" s="1"/>
  <c r="AQ489" i="2" a="1"/>
  <c r="AQ489" i="2" s="1"/>
  <c r="AQ297" i="2" a="1"/>
  <c r="AQ297" i="2" s="1"/>
  <c r="AQ444" i="2" a="1"/>
  <c r="AQ444" i="2" s="1"/>
  <c r="AQ139" i="2" a="1"/>
  <c r="AQ139" i="2" s="1"/>
  <c r="AQ180" i="2" a="1"/>
  <c r="AQ180" i="2" s="1"/>
  <c r="AQ129" i="2" a="1"/>
  <c r="AQ129" i="2" s="1"/>
  <c r="AQ481" i="2" a="1"/>
  <c r="AQ481" i="2" s="1"/>
  <c r="AQ118" i="2" a="1"/>
  <c r="AQ118" i="2" s="1"/>
  <c r="AQ279" i="2" a="1"/>
  <c r="AQ279" i="2" s="1"/>
  <c r="AQ253" i="2" a="1"/>
  <c r="AQ253" i="2" s="1"/>
  <c r="AQ479" i="2" a="1"/>
  <c r="AQ479" i="2" s="1"/>
  <c r="AQ484" i="2" a="1"/>
  <c r="AQ484" i="2" s="1"/>
  <c r="AQ254" i="2" a="1"/>
  <c r="AQ254" i="2" s="1"/>
  <c r="AQ316" i="2" a="1"/>
  <c r="AQ316" i="2" s="1"/>
  <c r="AQ324" i="2" a="1"/>
  <c r="AQ324" i="2" s="1"/>
  <c r="AQ110" i="2" a="1"/>
  <c r="AQ110" i="2" s="1"/>
  <c r="AQ462" i="2" a="1"/>
  <c r="AQ462" i="2" s="1"/>
  <c r="AQ293" i="2" a="1"/>
  <c r="AQ293" i="2" s="1"/>
  <c r="AQ313" i="2" a="1"/>
  <c r="AQ313" i="2" s="1"/>
  <c r="AQ353" i="2" a="1"/>
  <c r="AQ353" i="2" s="1"/>
  <c r="AQ399" i="2" a="1"/>
  <c r="AQ399" i="2" s="1"/>
  <c r="AQ423" i="2" a="1"/>
  <c r="AQ423" i="2" s="1"/>
  <c r="AQ415" i="2" a="1"/>
  <c r="AQ415" i="2" s="1"/>
  <c r="AQ189" i="2" a="1"/>
  <c r="AQ189" i="2" s="1"/>
  <c r="AQ330" i="2" a="1"/>
  <c r="AQ330" i="2" s="1"/>
  <c r="AQ473" i="2" a="1"/>
  <c r="AQ473" i="2" s="1"/>
  <c r="AQ464" i="2" a="1"/>
  <c r="AQ464" i="2" s="1"/>
  <c r="AQ144" i="2" a="1"/>
  <c r="AQ144" i="2" s="1"/>
  <c r="AQ424" i="2" a="1"/>
  <c r="AQ424" i="2" s="1"/>
  <c r="AQ114" i="2" a="1"/>
  <c r="AQ114" i="2" s="1"/>
  <c r="AQ402" i="2" a="1"/>
  <c r="AQ402" i="2" s="1"/>
  <c r="AQ343" i="2" a="1"/>
  <c r="AQ343" i="2" s="1"/>
  <c r="AQ351" i="2" a="1"/>
  <c r="AQ351" i="2" s="1"/>
  <c r="AQ407" i="2" a="1"/>
  <c r="AQ407" i="2" s="1"/>
  <c r="AQ167" i="2" a="1"/>
  <c r="AQ167" i="2" s="1"/>
  <c r="AQ274" i="2" a="1"/>
  <c r="AQ274" i="2" s="1"/>
  <c r="AQ200" i="2" a="1"/>
  <c r="AQ200" i="2" s="1"/>
  <c r="AQ170" i="2" a="1"/>
  <c r="AQ170" i="2" s="1"/>
  <c r="AQ400" i="2" a="1"/>
  <c r="AQ400" i="2" s="1"/>
  <c r="AQ450" i="2" a="1"/>
  <c r="AQ450" i="2" s="1"/>
  <c r="AQ453" i="2" a="1"/>
  <c r="AQ453" i="2" s="1"/>
  <c r="AQ468" i="2" a="1"/>
  <c r="AQ468" i="2" s="1"/>
  <c r="AQ487" i="2" a="1"/>
  <c r="AQ487" i="2" s="1"/>
  <c r="AQ246" i="2" a="1"/>
  <c r="AQ246" i="2" s="1"/>
  <c r="AQ251" i="2" a="1"/>
  <c r="AQ251" i="2" s="1"/>
  <c r="AQ391" i="2" a="1"/>
  <c r="AQ391" i="2" s="1"/>
  <c r="AQ273" i="2" a="1"/>
  <c r="AQ273" i="2" s="1"/>
  <c r="AQ477" i="2" a="1"/>
  <c r="AQ477" i="2" s="1"/>
  <c r="AQ485" i="2" a="1"/>
  <c r="AQ485" i="2" s="1"/>
  <c r="AQ414" i="2" a="1"/>
  <c r="AQ414" i="2" s="1"/>
  <c r="AQ153" i="2" a="1"/>
  <c r="AQ153" i="2" s="1"/>
  <c r="AQ417" i="2" a="1"/>
  <c r="AQ417" i="2" s="1"/>
  <c r="AQ202" i="2" a="1"/>
  <c r="AQ202" i="2" s="1"/>
  <c r="AQ437" i="2" a="1"/>
  <c r="AQ437" i="2" s="1"/>
  <c r="AQ308" i="2" a="1"/>
  <c r="AQ308" i="2" s="1"/>
  <c r="AQ381" i="2" a="1"/>
  <c r="AQ381" i="2" s="1"/>
  <c r="AQ361" i="2" a="1"/>
  <c r="AQ361" i="2" s="1"/>
  <c r="AQ218" i="2" a="1"/>
  <c r="AQ218" i="2" s="1"/>
  <c r="AQ150" i="2" a="1"/>
  <c r="AQ150" i="2" s="1"/>
  <c r="AQ196" i="2" a="1"/>
  <c r="AQ196" i="2" s="1"/>
  <c r="AQ364" i="2" a="1"/>
  <c r="AQ364" i="2" s="1"/>
  <c r="AQ294" i="2" a="1"/>
  <c r="AQ294" i="2" s="1"/>
  <c r="AQ476" i="2" a="1"/>
  <c r="AQ476" i="2" s="1"/>
  <c r="AQ497" i="2" a="1"/>
  <c r="AQ497" i="2" s="1"/>
  <c r="AQ458" i="2" a="1"/>
  <c r="AQ458" i="2" s="1"/>
  <c r="AQ495" i="2" a="1"/>
  <c r="AQ495" i="2" s="1"/>
  <c r="R5" i="2" a="1"/>
  <c r="R5" i="2" s="1"/>
  <c r="T5" i="2" s="1"/>
  <c r="R4" i="2" a="1"/>
  <c r="R4" i="2" s="1"/>
  <c r="T4" i="2" s="1"/>
  <c r="R3" i="2" a="1"/>
  <c r="R3" i="2" s="1"/>
  <c r="T3" i="2" s="1"/>
  <c r="R2" i="2" a="1"/>
  <c r="R2" i="2" s="1"/>
  <c r="T2" i="2" s="1"/>
  <c r="R33" i="2" l="1"/>
  <c r="R34" i="2" s="1"/>
  <c r="T12" i="2"/>
  <c r="R32" i="2" s="1"/>
  <c r="AQ190" i="2" l="1" a="1"/>
  <c r="AQ19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6170E2-B9DE-4575-A98F-4A21E4374802}" keepAlive="1" name="Query - Final (2)" description="Connection to the 'Final (2)' query in the workbook." type="5" refreshedVersion="8" background="1" saveData="1">
    <dbPr connection="Provider=Microsoft.Mashup.OleDb.1;Data Source=$Workbook$;Location=&quot;Final (2)&quot;;Extended Properties=&quot;&quot;" command="SELECT * FROM [Final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<sst xmlns="http://schemas.openxmlformats.org/spreadsheetml/2006/main" count="282" uniqueCount="69">
  <si>
    <t>Information</t>
  </si>
  <si>
    <t>Symbol/CUSIP</t>
  </si>
  <si>
    <t>Description</t>
  </si>
  <si>
    <t>Quantity</t>
  </si>
  <si>
    <t>Price</t>
  </si>
  <si>
    <t>Transaction Cost</t>
  </si>
  <si>
    <t>Amount</t>
  </si>
  <si>
    <t>Check Received</t>
  </si>
  <si>
    <t>Fidelity Nasdaq Composite Index Fund (FNCMX)</t>
  </si>
  <si>
    <t>You Bought</t>
  </si>
  <si>
    <t>Fidelity OTC Portfolio (FOCPX)</t>
  </si>
  <si>
    <t>Fidelity Zero Large Cap Index Fund (FNILX)</t>
  </si>
  <si>
    <t>Fidelity Blue Chip Growth Fund (FBGRX)</t>
  </si>
  <si>
    <t>Cost</t>
  </si>
  <si>
    <t>Reinvestment</t>
  </si>
  <si>
    <t>Dividend Received</t>
  </si>
  <si>
    <t>Long-Term Cap Gain</t>
  </si>
  <si>
    <t>Short-Term Cap Gain</t>
  </si>
  <si>
    <t>Reference No.</t>
  </si>
  <si>
    <t>Trade Date</t>
  </si>
  <si>
    <t>Settlement Date</t>
  </si>
  <si>
    <t>Type</t>
  </si>
  <si>
    <t>Reg. Rep.</t>
  </si>
  <si>
    <t>Order No.</t>
  </si>
  <si>
    <t>1*</t>
  </si>
  <si>
    <t>E##</t>
  </si>
  <si>
    <t>Shares</t>
  </si>
  <si>
    <t>Current Price</t>
  </si>
  <si>
    <t>Value</t>
  </si>
  <si>
    <t>Date</t>
  </si>
  <si>
    <t>FNCMX</t>
  </si>
  <si>
    <t>FBGRX</t>
  </si>
  <si>
    <t>FOCPX</t>
  </si>
  <si>
    <t>FNILX</t>
  </si>
  <si>
    <t>Total</t>
  </si>
  <si>
    <t>Shares FNCMX</t>
  </si>
  <si>
    <t>Value FNCMX</t>
  </si>
  <si>
    <t>Shares FBGRX</t>
  </si>
  <si>
    <t>Value FBGRX</t>
  </si>
  <si>
    <t>Shares FOCPX</t>
  </si>
  <si>
    <t>Value FOCPX</t>
  </si>
  <si>
    <t>Shares FNILX</t>
  </si>
  <si>
    <t>Value FNILX</t>
  </si>
  <si>
    <t>SPAXX Value</t>
  </si>
  <si>
    <t>31617H102</t>
  </si>
  <si>
    <t>SPAXX</t>
  </si>
  <si>
    <t>Fidelity Government Money Market (SPAXX)</t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</si>
  <si>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$11.83</t>
    </r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</si>
  <si>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$47.56</t>
    </r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</si>
  <si>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$67.88 Transaction Loss: $2.90</t>
    </r>
  </si>
  <si>
    <t>Investment Increase</t>
  </si>
  <si>
    <t>Current Total Value</t>
  </si>
  <si>
    <t>Gain (or Loss)</t>
  </si>
  <si>
    <t>% Gain (or Loss)</t>
  </si>
  <si>
    <t>Fidelity Large Cap Core Enhanced Index Fund (FLCEX)</t>
  </si>
  <si>
    <t>FLCEX</t>
  </si>
  <si>
    <t>FSUTX</t>
  </si>
  <si>
    <t>FFGCX</t>
  </si>
  <si>
    <t>FPHAX</t>
  </si>
  <si>
    <t>FVDFX</t>
  </si>
  <si>
    <t>Fidelity Global Commodity Stock Fund (FFGCX)</t>
  </si>
  <si>
    <t>Shares FLCEX</t>
  </si>
  <si>
    <t>Value FLCEX</t>
  </si>
  <si>
    <t>Shares FFGCX</t>
  </si>
  <si>
    <t>Value FFGCX</t>
  </si>
  <si>
    <t>29019-IDKWPC</t>
  </si>
  <si>
    <t>290199-INMQQW</t>
  </si>
  <si>
    <t>You Sold</t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</si>
  <si>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$11.11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</si>
</sst>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"/>
    <numFmt numFmtId="165" formatCode="m/d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164" fontId="0" fillId="0" borderId="0" xfId="0" applyNumberFormat="1"/>
    <xf numFmtId="44" fontId="0" fillId="0" borderId="0" xfId="0" applyNumberFormat="1"/>
    <xf numFmtId="0" fontId="1" fillId="0" borderId="0" xfId="4" applyNumberFormat="1" applyFill="1" applyBorder="1" applyAlignment="1" applyProtection="1"/>
    <xf numFmtId="0" fontId="1" fillId="0" borderId="0" xfId="2" applyNumberFormat="1" applyFill="1" applyBorder="1" applyAlignment="1" applyProtection="1"/>
    <xf numFmtId="0" fontId="1" fillId="0" borderId="0" xfId="3" applyNumberFormat="1" applyFill="1" applyBorder="1" applyAlignment="1" applyProtection="1"/>
    <xf numFmtId="0" fontId="1" fillId="0" borderId="0" xfId="0" applyFont="1"/>
    <xf numFmtId="0" fontId="1" fillId="0" borderId="0" xfId="1" applyNumberFormat="1" applyFill="1" applyBorder="1" applyAlignment="1" applyProtection="1"/>
    <xf numFmtId="165" fontId="0" fillId="0" borderId="0" xfId="0" applyNumberFormat="1"/>
    <xf numFmtId="2" fontId="0" fillId="0" borderId="0" xfId="0" applyNumberFormat="1"/>
    <xf numFmtId="44" fontId="1" fillId="0" borderId="0" xfId="4" applyNumberFormat="1" applyFill="1" applyBorder="1" applyAlignment="1" applyProtection="1"/>
    <xf numFmtId="44" fontId="1" fillId="0" borderId="0" xfId="0" applyNumberFormat="1" applyFont="1"/>
    <xf numFmtId="44" fontId="1" fillId="0" borderId="0" xfId="2" applyNumberFormat="1" applyFill="1" applyBorder="1" applyAlignment="1" applyProtection="1"/>
    <xf numFmtId="44" fontId="1" fillId="0" borderId="0" xfId="3" applyNumberFormat="1" applyFill="1" applyBorder="1" applyAlignment="1" applyProtection="1"/>
    <xf numFmtId="44" fontId="0" fillId="0" borderId="1" xfId="0" applyNumberFormat="1" applyBorder="1"/>
    <xf numFmtId="44" fontId="4" fillId="0" borderId="0" xfId="0" applyNumberFormat="1" applyFont="1"/>
    <xf numFmtId="10" fontId="4" fillId="0" borderId="0" xfId="0" applyNumberFormat="1" applyFont="1"/>
  </cellXfs>
  <cellStyles count="5">
    <cellStyle name="20% - Accent1" xfId="1" builtinId="30"/>
    <cellStyle name="20% - Accent2" xfId="2" builtinId="34"/>
    <cellStyle name="20% - Accent4" xfId="3" builtinId="42"/>
    <cellStyle name="20% - Accent6" xfId="4" builtinId="50"/>
    <cellStyle name="Normal" xfId="0" builtinId="0"/>
  </cellStyles>
  <dxfs count="141">
    <dxf>
      <numFmt numFmtId="19" formatCode="m/d/yyyy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165" formatCode="m/d/yy;@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</dxfs>
  <tableStyles count="0" defaultTableStyle="TableStyleMedium2" defaultPivotStyle="PivotStyleLight16"/>
  <colors>
    <mruColors>
      <color rgb="FFF8C99A"/>
      <color rgb="FFBBF3E6"/>
      <color rgb="FFB7FBDE"/>
      <color rgb="FFC2F6E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F-42EA-BCCE-0F6DD74034DB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DF-42EA-BCCE-0F6DD74034DB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DF-42EA-BCCE-0F6DD74034DB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DF-42EA-BCCE-0F6DD74034DB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DF-42EA-BCCE-0F6DD74034DB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B6-4D85-BB81-23A4CC4BAA2C}"/>
              </c:ext>
            </c:extLst>
          </c:dPt>
          <c:dPt>
            <c:idx val="6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6B6-4D85-BB81-23A4CC4BAA2C}"/>
              </c:ext>
            </c:extLst>
          </c:dPt>
          <c:dPt>
            <c:idx val="7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6B6-4D85-BB81-23A4CC4BAA2C}"/>
              </c:ext>
            </c:extLst>
          </c:dPt>
          <c:dPt>
            <c:idx val="8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6B6-4D85-BB81-23A4CC4BAA2C}"/>
              </c:ext>
            </c:extLst>
          </c:dPt>
          <c:dPt>
            <c:idx val="9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6B6-4D85-BB81-23A4CC4BAA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MainSheet!$P$2:$P$11</c:f>
              <c:strCache>
                <c:ptCount val="10"/>
                <c:pt idx="0">
                  <c:v>FNCMX</c:v>
                </c:pt>
                <c:pt idx="1">
                  <c:v>FBGRX</c:v>
                </c:pt>
                <c:pt idx="2">
                  <c:v>FOCPX</c:v>
                </c:pt>
                <c:pt idx="3">
                  <c:v>FNILX</c:v>
                </c:pt>
                <c:pt idx="4">
                  <c:v>FLCEX</c:v>
                </c:pt>
                <c:pt idx="5">
                  <c:v>FSUTX</c:v>
                </c:pt>
                <c:pt idx="6">
                  <c:v>FFGCX</c:v>
                </c:pt>
                <c:pt idx="7">
                  <c:v>FPHAX</c:v>
                </c:pt>
                <c:pt idx="8">
                  <c:v>FVDFX</c:v>
                </c:pt>
                <c:pt idx="9">
                  <c:v>SPAXX</c:v>
                </c:pt>
              </c:strCache>
            </c:strRef>
          </c:cat>
          <c:val>
            <c:numRef>
              <c:f>MainSheet!$T$2:$T$11</c:f>
              <c:numCache>
                <c:formatCode>_("$"* #,##0.00_);_("$"* \(#,##0.00\);_("$"* "-"??_);_(@_)</c:formatCode>
                <c:ptCount val="10"/>
                <c:pt idx="0">
                  <c:v>618.62130000000002</c:v>
                </c:pt>
                <c:pt idx="1">
                  <c:v>704.12351099999989</c:v>
                </c:pt>
                <c:pt idx="2">
                  <c:v>303.36540000000002</c:v>
                </c:pt>
                <c:pt idx="3">
                  <c:v>591.37322999999992</c:v>
                </c:pt>
                <c:pt idx="4">
                  <c:v>0</c:v>
                </c:pt>
                <c:pt idx="6">
                  <c:v>0</c:v>
                </c:pt>
                <c:pt idx="9">
                  <c:v>1376.3100000000004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DF-42EA-BCCE-0F6DD74034D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MainSheet!$AQ$1</c:f>
              <c:strCache>
                <c:ptCount val="1"/>
                <c:pt idx="0">
                  <c:v>Investment Increase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MainSheet!$V$2:$V$498</c:f>
              <c:numCache>
                <c:formatCode>m/d/yy;@</c:formatCode>
                <c:ptCount val="497"/>
                <c:pt idx="0">
                  <c:v>44747</c:v>
                </c:pt>
                <c:pt idx="1">
                  <c:v>44743</c:v>
                </c:pt>
                <c:pt idx="2">
                  <c:v>44742</c:v>
                </c:pt>
                <c:pt idx="3">
                  <c:v>44741</c:v>
                </c:pt>
                <c:pt idx="4">
                  <c:v>44740</c:v>
                </c:pt>
                <c:pt idx="5">
                  <c:v>44739</c:v>
                </c:pt>
                <c:pt idx="6">
                  <c:v>44736</c:v>
                </c:pt>
                <c:pt idx="7">
                  <c:v>44735</c:v>
                </c:pt>
                <c:pt idx="8">
                  <c:v>44734</c:v>
                </c:pt>
                <c:pt idx="9">
                  <c:v>44733</c:v>
                </c:pt>
                <c:pt idx="10">
                  <c:v>44729</c:v>
                </c:pt>
                <c:pt idx="11">
                  <c:v>44728</c:v>
                </c:pt>
                <c:pt idx="12">
                  <c:v>44727</c:v>
                </c:pt>
                <c:pt idx="13">
                  <c:v>44726</c:v>
                </c:pt>
                <c:pt idx="14">
                  <c:v>44725</c:v>
                </c:pt>
                <c:pt idx="15">
                  <c:v>44722</c:v>
                </c:pt>
                <c:pt idx="16">
                  <c:v>44721</c:v>
                </c:pt>
                <c:pt idx="17">
                  <c:v>44720</c:v>
                </c:pt>
                <c:pt idx="18">
                  <c:v>44719</c:v>
                </c:pt>
                <c:pt idx="19">
                  <c:v>44718</c:v>
                </c:pt>
                <c:pt idx="20">
                  <c:v>44715</c:v>
                </c:pt>
                <c:pt idx="21">
                  <c:v>44714</c:v>
                </c:pt>
                <c:pt idx="22">
                  <c:v>44713</c:v>
                </c:pt>
                <c:pt idx="23">
                  <c:v>44712</c:v>
                </c:pt>
                <c:pt idx="24">
                  <c:v>44708</c:v>
                </c:pt>
                <c:pt idx="25">
                  <c:v>44707</c:v>
                </c:pt>
                <c:pt idx="26">
                  <c:v>44706</c:v>
                </c:pt>
                <c:pt idx="27">
                  <c:v>44705</c:v>
                </c:pt>
                <c:pt idx="28">
                  <c:v>44704</c:v>
                </c:pt>
                <c:pt idx="29">
                  <c:v>44701</c:v>
                </c:pt>
                <c:pt idx="30">
                  <c:v>44700</c:v>
                </c:pt>
                <c:pt idx="31">
                  <c:v>44699</c:v>
                </c:pt>
                <c:pt idx="32">
                  <c:v>44698</c:v>
                </c:pt>
                <c:pt idx="33">
                  <c:v>44697</c:v>
                </c:pt>
                <c:pt idx="34">
                  <c:v>44694</c:v>
                </c:pt>
                <c:pt idx="35">
                  <c:v>44693</c:v>
                </c:pt>
                <c:pt idx="36">
                  <c:v>44692</c:v>
                </c:pt>
                <c:pt idx="37">
                  <c:v>44691</c:v>
                </c:pt>
                <c:pt idx="38">
                  <c:v>44690</c:v>
                </c:pt>
                <c:pt idx="39">
                  <c:v>44687</c:v>
                </c:pt>
                <c:pt idx="40">
                  <c:v>44686</c:v>
                </c:pt>
                <c:pt idx="41">
                  <c:v>44685</c:v>
                </c:pt>
                <c:pt idx="42">
                  <c:v>44684</c:v>
                </c:pt>
                <c:pt idx="43">
                  <c:v>44683</c:v>
                </c:pt>
                <c:pt idx="44">
                  <c:v>44680</c:v>
                </c:pt>
                <c:pt idx="45">
                  <c:v>44679</c:v>
                </c:pt>
                <c:pt idx="46">
                  <c:v>44678</c:v>
                </c:pt>
                <c:pt idx="47">
                  <c:v>44677</c:v>
                </c:pt>
                <c:pt idx="48">
                  <c:v>44676</c:v>
                </c:pt>
                <c:pt idx="49">
                  <c:v>44673</c:v>
                </c:pt>
                <c:pt idx="50">
                  <c:v>44672</c:v>
                </c:pt>
                <c:pt idx="51">
                  <c:v>44671</c:v>
                </c:pt>
                <c:pt idx="52">
                  <c:v>44670</c:v>
                </c:pt>
                <c:pt idx="53">
                  <c:v>44669</c:v>
                </c:pt>
                <c:pt idx="54">
                  <c:v>44665</c:v>
                </c:pt>
                <c:pt idx="55">
                  <c:v>44664</c:v>
                </c:pt>
                <c:pt idx="56">
                  <c:v>44663</c:v>
                </c:pt>
                <c:pt idx="57">
                  <c:v>44662</c:v>
                </c:pt>
                <c:pt idx="58">
                  <c:v>44659</c:v>
                </c:pt>
                <c:pt idx="59">
                  <c:v>44658</c:v>
                </c:pt>
                <c:pt idx="60">
                  <c:v>44657</c:v>
                </c:pt>
                <c:pt idx="61">
                  <c:v>44656</c:v>
                </c:pt>
                <c:pt idx="62">
                  <c:v>44655</c:v>
                </c:pt>
                <c:pt idx="63">
                  <c:v>44652</c:v>
                </c:pt>
                <c:pt idx="64">
                  <c:v>44651</c:v>
                </c:pt>
                <c:pt idx="65">
                  <c:v>44650</c:v>
                </c:pt>
                <c:pt idx="66">
                  <c:v>44649</c:v>
                </c:pt>
                <c:pt idx="67">
                  <c:v>44648</c:v>
                </c:pt>
                <c:pt idx="68">
                  <c:v>44645</c:v>
                </c:pt>
                <c:pt idx="69">
                  <c:v>44644</c:v>
                </c:pt>
                <c:pt idx="70">
                  <c:v>44643</c:v>
                </c:pt>
                <c:pt idx="71">
                  <c:v>44642</c:v>
                </c:pt>
                <c:pt idx="72">
                  <c:v>44641</c:v>
                </c:pt>
                <c:pt idx="73">
                  <c:v>44638</c:v>
                </c:pt>
                <c:pt idx="74">
                  <c:v>44637</c:v>
                </c:pt>
                <c:pt idx="75">
                  <c:v>44636</c:v>
                </c:pt>
                <c:pt idx="76">
                  <c:v>44635</c:v>
                </c:pt>
                <c:pt idx="77">
                  <c:v>44634</c:v>
                </c:pt>
                <c:pt idx="78">
                  <c:v>44631</c:v>
                </c:pt>
                <c:pt idx="79">
                  <c:v>44630</c:v>
                </c:pt>
                <c:pt idx="80">
                  <c:v>44629</c:v>
                </c:pt>
                <c:pt idx="81">
                  <c:v>44628</c:v>
                </c:pt>
                <c:pt idx="82">
                  <c:v>44627</c:v>
                </c:pt>
                <c:pt idx="83">
                  <c:v>44624</c:v>
                </c:pt>
                <c:pt idx="84">
                  <c:v>44623</c:v>
                </c:pt>
                <c:pt idx="85">
                  <c:v>44622</c:v>
                </c:pt>
                <c:pt idx="86">
                  <c:v>44621</c:v>
                </c:pt>
                <c:pt idx="87">
                  <c:v>44620</c:v>
                </c:pt>
                <c:pt idx="88">
                  <c:v>44617</c:v>
                </c:pt>
                <c:pt idx="89">
                  <c:v>44616</c:v>
                </c:pt>
                <c:pt idx="90">
                  <c:v>44615</c:v>
                </c:pt>
                <c:pt idx="91">
                  <c:v>44614</c:v>
                </c:pt>
                <c:pt idx="92">
                  <c:v>44610</c:v>
                </c:pt>
                <c:pt idx="93">
                  <c:v>44609</c:v>
                </c:pt>
                <c:pt idx="94">
                  <c:v>44608</c:v>
                </c:pt>
                <c:pt idx="95">
                  <c:v>44607</c:v>
                </c:pt>
                <c:pt idx="96">
                  <c:v>44606</c:v>
                </c:pt>
                <c:pt idx="97">
                  <c:v>44603</c:v>
                </c:pt>
                <c:pt idx="98">
                  <c:v>44602</c:v>
                </c:pt>
                <c:pt idx="99">
                  <c:v>44601</c:v>
                </c:pt>
                <c:pt idx="100">
                  <c:v>44600</c:v>
                </c:pt>
                <c:pt idx="101">
                  <c:v>44599</c:v>
                </c:pt>
                <c:pt idx="102">
                  <c:v>44596</c:v>
                </c:pt>
                <c:pt idx="103">
                  <c:v>44595</c:v>
                </c:pt>
                <c:pt idx="104">
                  <c:v>44594</c:v>
                </c:pt>
                <c:pt idx="105">
                  <c:v>44593</c:v>
                </c:pt>
                <c:pt idx="106">
                  <c:v>44592</c:v>
                </c:pt>
                <c:pt idx="107">
                  <c:v>44589</c:v>
                </c:pt>
                <c:pt idx="108">
                  <c:v>44588</c:v>
                </c:pt>
                <c:pt idx="109">
                  <c:v>44587</c:v>
                </c:pt>
                <c:pt idx="110">
                  <c:v>44586</c:v>
                </c:pt>
                <c:pt idx="111">
                  <c:v>44585</c:v>
                </c:pt>
                <c:pt idx="112">
                  <c:v>44582</c:v>
                </c:pt>
                <c:pt idx="113">
                  <c:v>44581</c:v>
                </c:pt>
                <c:pt idx="114">
                  <c:v>44580</c:v>
                </c:pt>
                <c:pt idx="115">
                  <c:v>44579</c:v>
                </c:pt>
                <c:pt idx="116">
                  <c:v>44575</c:v>
                </c:pt>
                <c:pt idx="117">
                  <c:v>44574</c:v>
                </c:pt>
                <c:pt idx="118">
                  <c:v>44573</c:v>
                </c:pt>
                <c:pt idx="119">
                  <c:v>44572</c:v>
                </c:pt>
                <c:pt idx="120">
                  <c:v>44571</c:v>
                </c:pt>
                <c:pt idx="121">
                  <c:v>44568</c:v>
                </c:pt>
                <c:pt idx="122">
                  <c:v>44567</c:v>
                </c:pt>
                <c:pt idx="123">
                  <c:v>44566</c:v>
                </c:pt>
                <c:pt idx="124">
                  <c:v>44565</c:v>
                </c:pt>
                <c:pt idx="125">
                  <c:v>44564</c:v>
                </c:pt>
                <c:pt idx="126">
                  <c:v>44561</c:v>
                </c:pt>
                <c:pt idx="127">
                  <c:v>44560</c:v>
                </c:pt>
                <c:pt idx="128">
                  <c:v>44559</c:v>
                </c:pt>
                <c:pt idx="129">
                  <c:v>44558</c:v>
                </c:pt>
                <c:pt idx="130">
                  <c:v>44557</c:v>
                </c:pt>
                <c:pt idx="131">
                  <c:v>44553</c:v>
                </c:pt>
                <c:pt idx="132">
                  <c:v>44552</c:v>
                </c:pt>
                <c:pt idx="133">
                  <c:v>44551</c:v>
                </c:pt>
                <c:pt idx="134">
                  <c:v>44550</c:v>
                </c:pt>
                <c:pt idx="135">
                  <c:v>44547</c:v>
                </c:pt>
                <c:pt idx="136">
                  <c:v>44546</c:v>
                </c:pt>
                <c:pt idx="137">
                  <c:v>44545</c:v>
                </c:pt>
                <c:pt idx="138">
                  <c:v>44544</c:v>
                </c:pt>
                <c:pt idx="139">
                  <c:v>44543</c:v>
                </c:pt>
                <c:pt idx="140">
                  <c:v>44540</c:v>
                </c:pt>
                <c:pt idx="141">
                  <c:v>44539</c:v>
                </c:pt>
                <c:pt idx="142">
                  <c:v>44538</c:v>
                </c:pt>
                <c:pt idx="143">
                  <c:v>44537</c:v>
                </c:pt>
                <c:pt idx="144">
                  <c:v>44536</c:v>
                </c:pt>
                <c:pt idx="145">
                  <c:v>44533</c:v>
                </c:pt>
                <c:pt idx="146">
                  <c:v>44532</c:v>
                </c:pt>
                <c:pt idx="147">
                  <c:v>44531</c:v>
                </c:pt>
                <c:pt idx="148">
                  <c:v>44530</c:v>
                </c:pt>
                <c:pt idx="149">
                  <c:v>44529</c:v>
                </c:pt>
                <c:pt idx="150">
                  <c:v>44526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44442</c:v>
                </c:pt>
                <c:pt idx="209">
                  <c:v>44441</c:v>
                </c:pt>
                <c:pt idx="210">
                  <c:v>44440</c:v>
                </c:pt>
                <c:pt idx="211">
                  <c:v>44439</c:v>
                </c:pt>
                <c:pt idx="212">
                  <c:v>44438</c:v>
                </c:pt>
                <c:pt idx="213">
                  <c:v>44435</c:v>
                </c:pt>
                <c:pt idx="214">
                  <c:v>44434</c:v>
                </c:pt>
                <c:pt idx="215">
                  <c:v>44433</c:v>
                </c:pt>
                <c:pt idx="216">
                  <c:v>44432</c:v>
                </c:pt>
                <c:pt idx="217">
                  <c:v>44431</c:v>
                </c:pt>
                <c:pt idx="218">
                  <c:v>44428</c:v>
                </c:pt>
                <c:pt idx="219">
                  <c:v>44427</c:v>
                </c:pt>
                <c:pt idx="220">
                  <c:v>44426</c:v>
                </c:pt>
                <c:pt idx="221">
                  <c:v>44425</c:v>
                </c:pt>
                <c:pt idx="222">
                  <c:v>44424</c:v>
                </c:pt>
                <c:pt idx="223">
                  <c:v>44421</c:v>
                </c:pt>
                <c:pt idx="224">
                  <c:v>44420</c:v>
                </c:pt>
                <c:pt idx="225">
                  <c:v>44419</c:v>
                </c:pt>
                <c:pt idx="226">
                  <c:v>44418</c:v>
                </c:pt>
                <c:pt idx="227">
                  <c:v>44417</c:v>
                </c:pt>
                <c:pt idx="228">
                  <c:v>44414</c:v>
                </c:pt>
                <c:pt idx="229">
                  <c:v>44413</c:v>
                </c:pt>
                <c:pt idx="230">
                  <c:v>44412</c:v>
                </c:pt>
                <c:pt idx="231">
                  <c:v>44411</c:v>
                </c:pt>
                <c:pt idx="232">
                  <c:v>44410</c:v>
                </c:pt>
                <c:pt idx="233">
                  <c:v>44407</c:v>
                </c:pt>
                <c:pt idx="234">
                  <c:v>44406</c:v>
                </c:pt>
                <c:pt idx="235">
                  <c:v>44405</c:v>
                </c:pt>
                <c:pt idx="236">
                  <c:v>44404</c:v>
                </c:pt>
                <c:pt idx="237">
                  <c:v>44404</c:v>
                </c:pt>
                <c:pt idx="238">
                  <c:v>44404</c:v>
                </c:pt>
                <c:pt idx="239">
                  <c:v>44399</c:v>
                </c:pt>
                <c:pt idx="240">
                  <c:v>44399</c:v>
                </c:pt>
                <c:pt idx="241">
                  <c:v>44399</c:v>
                </c:pt>
                <c:pt idx="242">
                  <c:v>44396</c:v>
                </c:pt>
                <c:pt idx="243">
                  <c:v>44393</c:v>
                </c:pt>
                <c:pt idx="244">
                  <c:v>44392</c:v>
                </c:pt>
                <c:pt idx="245">
                  <c:v>44391</c:v>
                </c:pt>
                <c:pt idx="246">
                  <c:v>44390</c:v>
                </c:pt>
                <c:pt idx="247">
                  <c:v>44389</c:v>
                </c:pt>
                <c:pt idx="248">
                  <c:v>44386</c:v>
                </c:pt>
                <c:pt idx="249">
                  <c:v>44385</c:v>
                </c:pt>
                <c:pt idx="250">
                  <c:v>44384</c:v>
                </c:pt>
                <c:pt idx="251">
                  <c:v>44383</c:v>
                </c:pt>
                <c:pt idx="252">
                  <c:v>44379</c:v>
                </c:pt>
                <c:pt idx="253">
                  <c:v>44378</c:v>
                </c:pt>
                <c:pt idx="254">
                  <c:v>44377</c:v>
                </c:pt>
                <c:pt idx="255">
                  <c:v>44376</c:v>
                </c:pt>
                <c:pt idx="256">
                  <c:v>44375</c:v>
                </c:pt>
                <c:pt idx="257">
                  <c:v>44372</c:v>
                </c:pt>
                <c:pt idx="258">
                  <c:v>44371</c:v>
                </c:pt>
                <c:pt idx="259">
                  <c:v>44370</c:v>
                </c:pt>
                <c:pt idx="260">
                  <c:v>44369</c:v>
                </c:pt>
                <c:pt idx="261">
                  <c:v>44368</c:v>
                </c:pt>
                <c:pt idx="262">
                  <c:v>44365</c:v>
                </c:pt>
                <c:pt idx="263">
                  <c:v>44364</c:v>
                </c:pt>
                <c:pt idx="264">
                  <c:v>44363</c:v>
                </c:pt>
                <c:pt idx="265">
                  <c:v>44362</c:v>
                </c:pt>
                <c:pt idx="266">
                  <c:v>44361</c:v>
                </c:pt>
                <c:pt idx="267">
                  <c:v>44358</c:v>
                </c:pt>
                <c:pt idx="268">
                  <c:v>44357</c:v>
                </c:pt>
                <c:pt idx="269">
                  <c:v>44356</c:v>
                </c:pt>
                <c:pt idx="270">
                  <c:v>44355</c:v>
                </c:pt>
                <c:pt idx="271">
                  <c:v>44354</c:v>
                </c:pt>
                <c:pt idx="272">
                  <c:v>44351</c:v>
                </c:pt>
                <c:pt idx="273">
                  <c:v>44350</c:v>
                </c:pt>
                <c:pt idx="274">
                  <c:v>44349</c:v>
                </c:pt>
                <c:pt idx="275">
                  <c:v>44348</c:v>
                </c:pt>
                <c:pt idx="276">
                  <c:v>44344</c:v>
                </c:pt>
                <c:pt idx="277">
                  <c:v>44343</c:v>
                </c:pt>
                <c:pt idx="278">
                  <c:v>44342</c:v>
                </c:pt>
                <c:pt idx="279">
                  <c:v>44341</c:v>
                </c:pt>
                <c:pt idx="280">
                  <c:v>44340</c:v>
                </c:pt>
                <c:pt idx="281">
                  <c:v>44337</c:v>
                </c:pt>
                <c:pt idx="282">
                  <c:v>44336</c:v>
                </c:pt>
                <c:pt idx="283">
                  <c:v>44335</c:v>
                </c:pt>
                <c:pt idx="284">
                  <c:v>44334</c:v>
                </c:pt>
                <c:pt idx="285">
                  <c:v>44333</c:v>
                </c:pt>
                <c:pt idx="286">
                  <c:v>44330</c:v>
                </c:pt>
                <c:pt idx="287">
                  <c:v>44329</c:v>
                </c:pt>
                <c:pt idx="288">
                  <c:v>44328</c:v>
                </c:pt>
                <c:pt idx="289">
                  <c:v>44327</c:v>
                </c:pt>
                <c:pt idx="290">
                  <c:v>44326</c:v>
                </c:pt>
                <c:pt idx="291">
                  <c:v>44323</c:v>
                </c:pt>
                <c:pt idx="292">
                  <c:v>44322</c:v>
                </c:pt>
                <c:pt idx="293">
                  <c:v>44321</c:v>
                </c:pt>
                <c:pt idx="294">
                  <c:v>44320</c:v>
                </c:pt>
                <c:pt idx="295">
                  <c:v>44319</c:v>
                </c:pt>
                <c:pt idx="296">
                  <c:v>44316</c:v>
                </c:pt>
                <c:pt idx="297">
                  <c:v>44315</c:v>
                </c:pt>
                <c:pt idx="298">
                  <c:v>44314</c:v>
                </c:pt>
                <c:pt idx="299">
                  <c:v>44313</c:v>
                </c:pt>
                <c:pt idx="300">
                  <c:v>44312</c:v>
                </c:pt>
                <c:pt idx="301">
                  <c:v>44309</c:v>
                </c:pt>
                <c:pt idx="302">
                  <c:v>44308</c:v>
                </c:pt>
                <c:pt idx="303">
                  <c:v>44307</c:v>
                </c:pt>
                <c:pt idx="304">
                  <c:v>44306</c:v>
                </c:pt>
                <c:pt idx="305">
                  <c:v>44305</c:v>
                </c:pt>
                <c:pt idx="306">
                  <c:v>44302</c:v>
                </c:pt>
                <c:pt idx="307">
                  <c:v>44301</c:v>
                </c:pt>
                <c:pt idx="308">
                  <c:v>44300</c:v>
                </c:pt>
                <c:pt idx="309">
                  <c:v>44299</c:v>
                </c:pt>
                <c:pt idx="310">
                  <c:v>44298</c:v>
                </c:pt>
                <c:pt idx="311">
                  <c:v>44295</c:v>
                </c:pt>
                <c:pt idx="312">
                  <c:v>44294</c:v>
                </c:pt>
                <c:pt idx="313">
                  <c:v>44293</c:v>
                </c:pt>
                <c:pt idx="314">
                  <c:v>44292</c:v>
                </c:pt>
                <c:pt idx="315">
                  <c:v>44291</c:v>
                </c:pt>
                <c:pt idx="316">
                  <c:v>44287</c:v>
                </c:pt>
                <c:pt idx="317">
                  <c:v>44286</c:v>
                </c:pt>
                <c:pt idx="318">
                  <c:v>44285</c:v>
                </c:pt>
                <c:pt idx="319">
                  <c:v>44284</c:v>
                </c:pt>
                <c:pt idx="320">
                  <c:v>44281</c:v>
                </c:pt>
                <c:pt idx="321">
                  <c:v>44280</c:v>
                </c:pt>
                <c:pt idx="322">
                  <c:v>44279</c:v>
                </c:pt>
                <c:pt idx="323">
                  <c:v>44278</c:v>
                </c:pt>
                <c:pt idx="324">
                  <c:v>44277</c:v>
                </c:pt>
                <c:pt idx="325">
                  <c:v>44274</c:v>
                </c:pt>
                <c:pt idx="326">
                  <c:v>44273</c:v>
                </c:pt>
                <c:pt idx="327">
                  <c:v>44272</c:v>
                </c:pt>
                <c:pt idx="328">
                  <c:v>44271</c:v>
                </c:pt>
                <c:pt idx="329">
                  <c:v>44270</c:v>
                </c:pt>
                <c:pt idx="330">
                  <c:v>44267</c:v>
                </c:pt>
                <c:pt idx="331">
                  <c:v>44266</c:v>
                </c:pt>
                <c:pt idx="332">
                  <c:v>44265</c:v>
                </c:pt>
                <c:pt idx="333">
                  <c:v>44264</c:v>
                </c:pt>
                <c:pt idx="334">
                  <c:v>44263</c:v>
                </c:pt>
                <c:pt idx="335">
                  <c:v>44260</c:v>
                </c:pt>
                <c:pt idx="336">
                  <c:v>44259</c:v>
                </c:pt>
                <c:pt idx="337">
                  <c:v>44258</c:v>
                </c:pt>
                <c:pt idx="338">
                  <c:v>44257</c:v>
                </c:pt>
                <c:pt idx="339">
                  <c:v>44256</c:v>
                </c:pt>
                <c:pt idx="340">
                  <c:v>44253</c:v>
                </c:pt>
                <c:pt idx="341">
                  <c:v>44252</c:v>
                </c:pt>
                <c:pt idx="342">
                  <c:v>44251</c:v>
                </c:pt>
                <c:pt idx="343">
                  <c:v>44250</c:v>
                </c:pt>
                <c:pt idx="344">
                  <c:v>44249</c:v>
                </c:pt>
                <c:pt idx="345">
                  <c:v>44246</c:v>
                </c:pt>
                <c:pt idx="346">
                  <c:v>44245</c:v>
                </c:pt>
                <c:pt idx="347">
                  <c:v>44244</c:v>
                </c:pt>
                <c:pt idx="348">
                  <c:v>44243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44232</c:v>
                </c:pt>
                <c:pt idx="355">
                  <c:v>44231</c:v>
                </c:pt>
                <c:pt idx="356">
                  <c:v>44230</c:v>
                </c:pt>
                <c:pt idx="357">
                  <c:v>44229</c:v>
                </c:pt>
                <c:pt idx="358">
                  <c:v>44228</c:v>
                </c:pt>
                <c:pt idx="359">
                  <c:v>44225</c:v>
                </c:pt>
                <c:pt idx="360">
                  <c:v>44224</c:v>
                </c:pt>
                <c:pt idx="361">
                  <c:v>44223</c:v>
                </c:pt>
                <c:pt idx="362">
                  <c:v>44222</c:v>
                </c:pt>
                <c:pt idx="363">
                  <c:v>44221</c:v>
                </c:pt>
                <c:pt idx="364">
                  <c:v>44218</c:v>
                </c:pt>
                <c:pt idx="365">
                  <c:v>44217</c:v>
                </c:pt>
                <c:pt idx="366">
                  <c:v>44216</c:v>
                </c:pt>
                <c:pt idx="367">
                  <c:v>44215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44204</c:v>
                </c:pt>
                <c:pt idx="374">
                  <c:v>44203</c:v>
                </c:pt>
                <c:pt idx="375">
                  <c:v>44202</c:v>
                </c:pt>
                <c:pt idx="376">
                  <c:v>44201</c:v>
                </c:pt>
                <c:pt idx="377">
                  <c:v>44200</c:v>
                </c:pt>
                <c:pt idx="378">
                  <c:v>44196</c:v>
                </c:pt>
                <c:pt idx="379">
                  <c:v>44195</c:v>
                </c:pt>
                <c:pt idx="380">
                  <c:v>44194</c:v>
                </c:pt>
                <c:pt idx="381">
                  <c:v>44193</c:v>
                </c:pt>
                <c:pt idx="382">
                  <c:v>44189</c:v>
                </c:pt>
                <c:pt idx="383">
                  <c:v>44188</c:v>
                </c:pt>
                <c:pt idx="384">
                  <c:v>44187</c:v>
                </c:pt>
                <c:pt idx="385">
                  <c:v>44186</c:v>
                </c:pt>
                <c:pt idx="386">
                  <c:v>44183</c:v>
                </c:pt>
                <c:pt idx="387">
                  <c:v>44182</c:v>
                </c:pt>
                <c:pt idx="388">
                  <c:v>44181</c:v>
                </c:pt>
                <c:pt idx="389">
                  <c:v>44180</c:v>
                </c:pt>
                <c:pt idx="390">
                  <c:v>44179</c:v>
                </c:pt>
                <c:pt idx="391">
                  <c:v>44176</c:v>
                </c:pt>
                <c:pt idx="392">
                  <c:v>44175</c:v>
                </c:pt>
                <c:pt idx="393">
                  <c:v>44174</c:v>
                </c:pt>
                <c:pt idx="394">
                  <c:v>44173</c:v>
                </c:pt>
                <c:pt idx="395">
                  <c:v>44172</c:v>
                </c:pt>
                <c:pt idx="396">
                  <c:v>44169</c:v>
                </c:pt>
                <c:pt idx="397">
                  <c:v>44168</c:v>
                </c:pt>
                <c:pt idx="398">
                  <c:v>44167</c:v>
                </c:pt>
                <c:pt idx="399">
                  <c:v>44166</c:v>
                </c:pt>
                <c:pt idx="400">
                  <c:v>44165</c:v>
                </c:pt>
                <c:pt idx="401">
                  <c:v>44162</c:v>
                </c:pt>
                <c:pt idx="402">
                  <c:v>44160</c:v>
                </c:pt>
                <c:pt idx="403">
                  <c:v>44159</c:v>
                </c:pt>
                <c:pt idx="404">
                  <c:v>44158</c:v>
                </c:pt>
                <c:pt idx="405">
                  <c:v>44155</c:v>
                </c:pt>
                <c:pt idx="406">
                  <c:v>44154</c:v>
                </c:pt>
                <c:pt idx="407">
                  <c:v>44153</c:v>
                </c:pt>
                <c:pt idx="408">
                  <c:v>44152</c:v>
                </c:pt>
                <c:pt idx="409">
                  <c:v>44151</c:v>
                </c:pt>
                <c:pt idx="410">
                  <c:v>44148</c:v>
                </c:pt>
                <c:pt idx="411">
                  <c:v>44147</c:v>
                </c:pt>
                <c:pt idx="412">
                  <c:v>44146</c:v>
                </c:pt>
                <c:pt idx="413">
                  <c:v>44145</c:v>
                </c:pt>
                <c:pt idx="414">
                  <c:v>44144</c:v>
                </c:pt>
                <c:pt idx="415">
                  <c:v>44141</c:v>
                </c:pt>
                <c:pt idx="416">
                  <c:v>44140</c:v>
                </c:pt>
                <c:pt idx="417">
                  <c:v>44139</c:v>
                </c:pt>
                <c:pt idx="418">
                  <c:v>44138</c:v>
                </c:pt>
                <c:pt idx="419">
                  <c:v>44137</c:v>
                </c:pt>
                <c:pt idx="420">
                  <c:v>44134</c:v>
                </c:pt>
                <c:pt idx="421">
                  <c:v>44133</c:v>
                </c:pt>
                <c:pt idx="422">
                  <c:v>44132</c:v>
                </c:pt>
                <c:pt idx="423">
                  <c:v>44131</c:v>
                </c:pt>
                <c:pt idx="424">
                  <c:v>44130</c:v>
                </c:pt>
                <c:pt idx="425">
                  <c:v>44127</c:v>
                </c:pt>
                <c:pt idx="426">
                  <c:v>44126</c:v>
                </c:pt>
                <c:pt idx="427">
                  <c:v>44125</c:v>
                </c:pt>
                <c:pt idx="428">
                  <c:v>44124</c:v>
                </c:pt>
                <c:pt idx="429">
                  <c:v>44123</c:v>
                </c:pt>
                <c:pt idx="430">
                  <c:v>44120</c:v>
                </c:pt>
                <c:pt idx="431">
                  <c:v>44119</c:v>
                </c:pt>
                <c:pt idx="432">
                  <c:v>44118</c:v>
                </c:pt>
                <c:pt idx="433">
                  <c:v>44117</c:v>
                </c:pt>
                <c:pt idx="434">
                  <c:v>44116</c:v>
                </c:pt>
                <c:pt idx="435">
                  <c:v>44113</c:v>
                </c:pt>
                <c:pt idx="436">
                  <c:v>44112</c:v>
                </c:pt>
                <c:pt idx="437">
                  <c:v>44111</c:v>
                </c:pt>
                <c:pt idx="438">
                  <c:v>44110</c:v>
                </c:pt>
                <c:pt idx="439">
                  <c:v>44109</c:v>
                </c:pt>
                <c:pt idx="440">
                  <c:v>44106</c:v>
                </c:pt>
                <c:pt idx="441">
                  <c:v>44105</c:v>
                </c:pt>
                <c:pt idx="442">
                  <c:v>44104</c:v>
                </c:pt>
                <c:pt idx="443">
                  <c:v>44103</c:v>
                </c:pt>
                <c:pt idx="444">
                  <c:v>44102</c:v>
                </c:pt>
                <c:pt idx="445">
                  <c:v>44099</c:v>
                </c:pt>
                <c:pt idx="446">
                  <c:v>44098</c:v>
                </c:pt>
                <c:pt idx="447">
                  <c:v>44097</c:v>
                </c:pt>
                <c:pt idx="448">
                  <c:v>44096</c:v>
                </c:pt>
                <c:pt idx="449">
                  <c:v>44095</c:v>
                </c:pt>
                <c:pt idx="450">
                  <c:v>44092</c:v>
                </c:pt>
                <c:pt idx="451">
                  <c:v>44091</c:v>
                </c:pt>
                <c:pt idx="452">
                  <c:v>44090</c:v>
                </c:pt>
                <c:pt idx="453">
                  <c:v>44089</c:v>
                </c:pt>
                <c:pt idx="454">
                  <c:v>44088</c:v>
                </c:pt>
                <c:pt idx="455">
                  <c:v>44085</c:v>
                </c:pt>
                <c:pt idx="456">
                  <c:v>44084</c:v>
                </c:pt>
                <c:pt idx="457">
                  <c:v>44083</c:v>
                </c:pt>
                <c:pt idx="458">
                  <c:v>44082</c:v>
                </c:pt>
                <c:pt idx="459">
                  <c:v>44078</c:v>
                </c:pt>
                <c:pt idx="460">
                  <c:v>44077</c:v>
                </c:pt>
                <c:pt idx="461">
                  <c:v>44076</c:v>
                </c:pt>
                <c:pt idx="462">
                  <c:v>44075</c:v>
                </c:pt>
                <c:pt idx="463">
                  <c:v>44074</c:v>
                </c:pt>
                <c:pt idx="464">
                  <c:v>44071</c:v>
                </c:pt>
                <c:pt idx="465">
                  <c:v>44070</c:v>
                </c:pt>
                <c:pt idx="466">
                  <c:v>44069</c:v>
                </c:pt>
                <c:pt idx="467">
                  <c:v>44068</c:v>
                </c:pt>
                <c:pt idx="468">
                  <c:v>44067</c:v>
                </c:pt>
                <c:pt idx="469">
                  <c:v>44064</c:v>
                </c:pt>
                <c:pt idx="470">
                  <c:v>44063</c:v>
                </c:pt>
                <c:pt idx="471">
                  <c:v>44062</c:v>
                </c:pt>
                <c:pt idx="472">
                  <c:v>44061</c:v>
                </c:pt>
                <c:pt idx="473">
                  <c:v>44060</c:v>
                </c:pt>
                <c:pt idx="474">
                  <c:v>44057</c:v>
                </c:pt>
                <c:pt idx="475">
                  <c:v>44056</c:v>
                </c:pt>
                <c:pt idx="476">
                  <c:v>44055</c:v>
                </c:pt>
                <c:pt idx="477">
                  <c:v>44054</c:v>
                </c:pt>
                <c:pt idx="478">
                  <c:v>44053</c:v>
                </c:pt>
                <c:pt idx="479">
                  <c:v>44050</c:v>
                </c:pt>
                <c:pt idx="480">
                  <c:v>44049</c:v>
                </c:pt>
                <c:pt idx="481">
                  <c:v>44048</c:v>
                </c:pt>
                <c:pt idx="482">
                  <c:v>44047</c:v>
                </c:pt>
                <c:pt idx="483">
                  <c:v>44046</c:v>
                </c:pt>
                <c:pt idx="484">
                  <c:v>44043</c:v>
                </c:pt>
                <c:pt idx="485">
                  <c:v>44042</c:v>
                </c:pt>
                <c:pt idx="486">
                  <c:v>44041</c:v>
                </c:pt>
                <c:pt idx="487">
                  <c:v>44040</c:v>
                </c:pt>
                <c:pt idx="488">
                  <c:v>44039</c:v>
                </c:pt>
                <c:pt idx="489">
                  <c:v>44036</c:v>
                </c:pt>
                <c:pt idx="490">
                  <c:v>44035</c:v>
                </c:pt>
                <c:pt idx="491">
                  <c:v>44034</c:v>
                </c:pt>
                <c:pt idx="492">
                  <c:v>44033</c:v>
                </c:pt>
                <c:pt idx="493">
                  <c:v>44032</c:v>
                </c:pt>
                <c:pt idx="494">
                  <c:v>44029</c:v>
                </c:pt>
                <c:pt idx="495">
                  <c:v>44028</c:v>
                </c:pt>
                <c:pt idx="496">
                  <c:v>44027</c:v>
                </c:pt>
              </c:numCache>
            </c:numRef>
          </c:cat>
          <c:val>
            <c:numRef>
              <c:f>MainSheet!$AQ$2:$AQ$498</c:f>
              <c:numCache>
                <c:formatCode>_("$"* #,##0.00_);_("$"* \(#,##0.00\);_("$"* "-"??_);_(@_)</c:formatCode>
                <c:ptCount val="497"/>
                <c:pt idx="0">
                  <c:v>154.79344100000071</c:v>
                </c:pt>
                <c:pt idx="1">
                  <c:v>122.32014900000013</c:v>
                </c:pt>
                <c:pt idx="2">
                  <c:v>104.42261800000051</c:v>
                </c:pt>
                <c:pt idx="3">
                  <c:v>135.4701640000003</c:v>
                </c:pt>
                <c:pt idx="4">
                  <c:v>137.93127500000037</c:v>
                </c:pt>
                <c:pt idx="5">
                  <c:v>201.57077600000048</c:v>
                </c:pt>
                <c:pt idx="6">
                  <c:v>216.63247300000057</c:v>
                </c:pt>
                <c:pt idx="7">
                  <c:v>142.41007400000035</c:v>
                </c:pt>
                <c:pt idx="8">
                  <c:v>112.54375100000061</c:v>
                </c:pt>
                <c:pt idx="9">
                  <c:v>118.56894900000043</c:v>
                </c:pt>
                <c:pt idx="10">
                  <c:v>66.725532000000385</c:v>
                </c:pt>
                <c:pt idx="11">
                  <c:v>44.539802000000236</c:v>
                </c:pt>
                <c:pt idx="12">
                  <c:v>133.03318200000012</c:v>
                </c:pt>
                <c:pt idx="13">
                  <c:v>86.294538000000557</c:v>
                </c:pt>
                <c:pt idx="14">
                  <c:v>84.89442100000042</c:v>
                </c:pt>
                <c:pt idx="15">
                  <c:v>189.30954200000042</c:v>
                </c:pt>
                <c:pt idx="16">
                  <c:v>270.3765040000003</c:v>
                </c:pt>
                <c:pt idx="17">
                  <c:v>335.05097400000022</c:v>
                </c:pt>
                <c:pt idx="18">
                  <c:v>351.73821700000053</c:v>
                </c:pt>
                <c:pt idx="19">
                  <c:v>328.00091300000031</c:v>
                </c:pt>
                <c:pt idx="20">
                  <c:v>316.65913600000022</c:v>
                </c:pt>
                <c:pt idx="21">
                  <c:v>370.04646500000035</c:v>
                </c:pt>
                <c:pt idx="22">
                  <c:v>306.88781700000027</c:v>
                </c:pt>
                <c:pt idx="23">
                  <c:v>323.22356300000047</c:v>
                </c:pt>
                <c:pt idx="24">
                  <c:v>336.0930070000004</c:v>
                </c:pt>
                <c:pt idx="25">
                  <c:v>264.78982200000019</c:v>
                </c:pt>
                <c:pt idx="26">
                  <c:v>203.47854000000052</c:v>
                </c:pt>
                <c:pt idx="27">
                  <c:v>169.52106800000092</c:v>
                </c:pt>
                <c:pt idx="28">
                  <c:v>224.71399400000018</c:v>
                </c:pt>
                <c:pt idx="29">
                  <c:v>187.02711700000054</c:v>
                </c:pt>
                <c:pt idx="30">
                  <c:v>191.72396800000024</c:v>
                </c:pt>
                <c:pt idx="31">
                  <c:v>194.6311310000001</c:v>
                </c:pt>
                <c:pt idx="32">
                  <c:v>303.0206360000002</c:v>
                </c:pt>
                <c:pt idx="33">
                  <c:v>245.34735499999988</c:v>
                </c:pt>
                <c:pt idx="34">
                  <c:v>270.83939600000031</c:v>
                </c:pt>
                <c:pt idx="35">
                  <c:v>188.89071300000023</c:v>
                </c:pt>
                <c:pt idx="36">
                  <c:v>188.41281400000025</c:v>
                </c:pt>
                <c:pt idx="37">
                  <c:v>253.2058890000003</c:v>
                </c:pt>
                <c:pt idx="38">
                  <c:v>234.56453499999998</c:v>
                </c:pt>
                <c:pt idx="39">
                  <c:v>342.78816300000062</c:v>
                </c:pt>
                <c:pt idx="40">
                  <c:v>373.60133700000051</c:v>
                </c:pt>
                <c:pt idx="41">
                  <c:v>497.61626200000046</c:v>
                </c:pt>
                <c:pt idx="42">
                  <c:v>426.12483300000031</c:v>
                </c:pt>
                <c:pt idx="43">
                  <c:v>422.79244300000028</c:v>
                </c:pt>
                <c:pt idx="44">
                  <c:v>388.07695500000045</c:v>
                </c:pt>
                <c:pt idx="45">
                  <c:v>492.55444500000021</c:v>
                </c:pt>
                <c:pt idx="46">
                  <c:v>412.0461720000003</c:v>
                </c:pt>
                <c:pt idx="47">
                  <c:v>412.5204190000004</c:v>
                </c:pt>
                <c:pt idx="48">
                  <c:v>506.35345600000028</c:v>
                </c:pt>
                <c:pt idx="49">
                  <c:v>478.07665700000052</c:v>
                </c:pt>
                <c:pt idx="50">
                  <c:v>547.49704500000053</c:v>
                </c:pt>
                <c:pt idx="51">
                  <c:v>606.48283500000025</c:v>
                </c:pt>
                <c:pt idx="52">
                  <c:v>638.90315100000043</c:v>
                </c:pt>
                <c:pt idx="53">
                  <c:v>583.1416890000005</c:v>
                </c:pt>
                <c:pt idx="54">
                  <c:v>586.00969600000053</c:v>
                </c:pt>
                <c:pt idx="55">
                  <c:v>637.05294900000035</c:v>
                </c:pt>
                <c:pt idx="56">
                  <c:v>585.54241499999989</c:v>
                </c:pt>
                <c:pt idx="57">
                  <c:v>593.45562800000016</c:v>
                </c:pt>
                <c:pt idx="58">
                  <c:v>649.31664000000046</c:v>
                </c:pt>
                <c:pt idx="59">
                  <c:v>678.11423600000035</c:v>
                </c:pt>
                <c:pt idx="60">
                  <c:v>676.30655500000103</c:v>
                </c:pt>
                <c:pt idx="61">
                  <c:v>737.04898200000025</c:v>
                </c:pt>
                <c:pt idx="62">
                  <c:v>798.10135100000025</c:v>
                </c:pt>
                <c:pt idx="63">
                  <c:v>745.06903800000055</c:v>
                </c:pt>
                <c:pt idx="64">
                  <c:v>735.88200500000039</c:v>
                </c:pt>
                <c:pt idx="65">
                  <c:v>783.72850199999993</c:v>
                </c:pt>
                <c:pt idx="66">
                  <c:v>818.8310849999998</c:v>
                </c:pt>
                <c:pt idx="67">
                  <c:v>766.04410700000062</c:v>
                </c:pt>
                <c:pt idx="68">
                  <c:v>734.22949299999982</c:v>
                </c:pt>
                <c:pt idx="69">
                  <c:v>738.03822700000092</c:v>
                </c:pt>
                <c:pt idx="70">
                  <c:v>684.14651500000036</c:v>
                </c:pt>
                <c:pt idx="71">
                  <c:v>720.94604600000093</c:v>
                </c:pt>
                <c:pt idx="72">
                  <c:v>672.56190500000048</c:v>
                </c:pt>
                <c:pt idx="73">
                  <c:v>685.23939100000098</c:v>
                </c:pt>
                <c:pt idx="74">
                  <c:v>629.4559990000007</c:v>
                </c:pt>
                <c:pt idx="75">
                  <c:v>591.25143100000059</c:v>
                </c:pt>
                <c:pt idx="76">
                  <c:v>497.12557900000047</c:v>
                </c:pt>
                <c:pt idx="77">
                  <c:v>426.12494400000014</c:v>
                </c:pt>
                <c:pt idx="78">
                  <c:v>473.1139460000004</c:v>
                </c:pt>
                <c:pt idx="79">
                  <c:v>526.27509000000055</c:v>
                </c:pt>
                <c:pt idx="80">
                  <c:v>545.29392800000051</c:v>
                </c:pt>
                <c:pt idx="81">
                  <c:v>454.5121850000005</c:v>
                </c:pt>
                <c:pt idx="82">
                  <c:v>456.05244500000026</c:v>
                </c:pt>
                <c:pt idx="83">
                  <c:v>556.04560100000072</c:v>
                </c:pt>
                <c:pt idx="84">
                  <c:v>604.33097400000042</c:v>
                </c:pt>
                <c:pt idx="85">
                  <c:v>648.68593400000054</c:v>
                </c:pt>
                <c:pt idx="86">
                  <c:v>604.57002000000011</c:v>
                </c:pt>
                <c:pt idx="87">
                  <c:v>652.42467800000031</c:v>
                </c:pt>
                <c:pt idx="88">
                  <c:v>643.36045300000023</c:v>
                </c:pt>
                <c:pt idx="89">
                  <c:v>596.3972730000005</c:v>
                </c:pt>
                <c:pt idx="90">
                  <c:v>516.64526600000045</c:v>
                </c:pt>
                <c:pt idx="91">
                  <c:v>580.00428400000055</c:v>
                </c:pt>
                <c:pt idx="92">
                  <c:v>615.66193199999998</c:v>
                </c:pt>
                <c:pt idx="93">
                  <c:v>649.80441800000062</c:v>
                </c:pt>
                <c:pt idx="94">
                  <c:v>733.32686000000012</c:v>
                </c:pt>
                <c:pt idx="95">
                  <c:v>739.81580699999995</c:v>
                </c:pt>
                <c:pt idx="96">
                  <c:v>669.67551800000001</c:v>
                </c:pt>
                <c:pt idx="97">
                  <c:v>673.50730000000021</c:v>
                </c:pt>
                <c:pt idx="98">
                  <c:v>752.99503900000036</c:v>
                </c:pt>
                <c:pt idx="99">
                  <c:v>810.85814700000083</c:v>
                </c:pt>
                <c:pt idx="100">
                  <c:v>750.30354199999965</c:v>
                </c:pt>
                <c:pt idx="101">
                  <c:v>715.17857499999991</c:v>
                </c:pt>
                <c:pt idx="102">
                  <c:v>729.29731100000026</c:v>
                </c:pt>
                <c:pt idx="103">
                  <c:v>680.38988600000084</c:v>
                </c:pt>
                <c:pt idx="104">
                  <c:v>791.90129700000034</c:v>
                </c:pt>
                <c:pt idx="105">
                  <c:v>780.97444600000017</c:v>
                </c:pt>
                <c:pt idx="106">
                  <c:v>754.06424800000059</c:v>
                </c:pt>
                <c:pt idx="107">
                  <c:v>662.8991330000008</c:v>
                </c:pt>
                <c:pt idx="108">
                  <c:v>581.65302400000019</c:v>
                </c:pt>
                <c:pt idx="109">
                  <c:v>612.78849700000046</c:v>
                </c:pt>
                <c:pt idx="110">
                  <c:v>616.14660400000048</c:v>
                </c:pt>
                <c:pt idx="111">
                  <c:v>676.65848899999946</c:v>
                </c:pt>
                <c:pt idx="112">
                  <c:v>660.07179400000041</c:v>
                </c:pt>
                <c:pt idx="113">
                  <c:v>736.63171700000021</c:v>
                </c:pt>
                <c:pt idx="114">
                  <c:v>773.44196000000011</c:v>
                </c:pt>
                <c:pt idx="115">
                  <c:v>805.18334500000037</c:v>
                </c:pt>
                <c:pt idx="116">
                  <c:v>879.14616899999965</c:v>
                </c:pt>
                <c:pt idx="117">
                  <c:v>869.89082099999996</c:v>
                </c:pt>
                <c:pt idx="118">
                  <c:v>946.11623300000065</c:v>
                </c:pt>
                <c:pt idx="119">
                  <c:v>940.08723500000087</c:v>
                </c:pt>
                <c:pt idx="120">
                  <c:v>897.25336400000015</c:v>
                </c:pt>
                <c:pt idx="121">
                  <c:v>899.91392400000041</c:v>
                </c:pt>
                <c:pt idx="122">
                  <c:v>927.32502399999976</c:v>
                </c:pt>
                <c:pt idx="123">
                  <c:v>929.81016000000091</c:v>
                </c:pt>
                <c:pt idx="124">
                  <c:v>1032.3443520000001</c:v>
                </c:pt>
                <c:pt idx="125">
                  <c:v>1067.5527460000003</c:v>
                </c:pt>
                <c:pt idx="126">
                  <c:v>1035.7151720000002</c:v>
                </c:pt>
                <c:pt idx="127">
                  <c:v>1053.4786220000005</c:v>
                </c:pt>
                <c:pt idx="128">
                  <c:v>1056.7740110000004</c:v>
                </c:pt>
                <c:pt idx="129">
                  <c:v>1058.2752799999998</c:v>
                </c:pt>
                <c:pt idx="130">
                  <c:v>1081.3778769999999</c:v>
                </c:pt>
                <c:pt idx="131">
                  <c:v>1039.3903989999999</c:v>
                </c:pt>
                <c:pt idx="132">
                  <c:v>1015.4983650000013</c:v>
                </c:pt>
                <c:pt idx="133">
                  <c:v>980.84013500000037</c:v>
                </c:pt>
                <c:pt idx="134">
                  <c:v>831.02089400000023</c:v>
                </c:pt>
                <c:pt idx="135">
                  <c:v>868.54535900000064</c:v>
                </c:pt>
                <c:pt idx="136">
                  <c:v>880.71764000000076</c:v>
                </c:pt>
                <c:pt idx="137">
                  <c:v>951.81492000000071</c:v>
                </c:pt>
                <c:pt idx="138">
                  <c:v>893.44524000000092</c:v>
                </c:pt>
                <c:pt idx="139">
                  <c:v>927.05664400000023</c:v>
                </c:pt>
                <c:pt idx="140">
                  <c:v>973.57471100000021</c:v>
                </c:pt>
                <c:pt idx="141">
                  <c:v>957.01483300000018</c:v>
                </c:pt>
                <c:pt idx="142">
                  <c:v>1002.2238080000006</c:v>
                </c:pt>
                <c:pt idx="143">
                  <c:v>981.92585899999995</c:v>
                </c:pt>
                <c:pt idx="144">
                  <c:v>893.77460700000029</c:v>
                </c:pt>
                <c:pt idx="145">
                  <c:v>863.2671420000006</c:v>
                </c:pt>
                <c:pt idx="146">
                  <c:v>896.96227399999952</c:v>
                </c:pt>
                <c:pt idx="147">
                  <c:v>866.06035499999962</c:v>
                </c:pt>
                <c:pt idx="148">
                  <c:v>925.35577999999987</c:v>
                </c:pt>
                <c:pt idx="149">
                  <c:v>979.39449200000035</c:v>
                </c:pt>
                <c:pt idx="150">
                  <c:v>927.69106400000055</c:v>
                </c:pt>
                <c:pt idx="151">
                  <c:v>995.61800500000027</c:v>
                </c:pt>
                <c:pt idx="152">
                  <c:v>980.48164100000031</c:v>
                </c:pt>
                <c:pt idx="153">
                  <c:v>993.81134199999997</c:v>
                </c:pt>
                <c:pt idx="154">
                  <c:v>1035.5764240000008</c:v>
                </c:pt>
                <c:pt idx="155">
                  <c:v>1030.6500379999998</c:v>
                </c:pt>
                <c:pt idx="156">
                  <c:v>1010.3452180000004</c:v>
                </c:pt>
                <c:pt idx="157">
                  <c:v>1025.5930819999994</c:v>
                </c:pt>
                <c:pt idx="158">
                  <c:v>1002.1765190000006</c:v>
                </c:pt>
                <c:pt idx="159">
                  <c:v>1003.4567100000004</c:v>
                </c:pt>
                <c:pt idx="160">
                  <c:v>969.14858000000004</c:v>
                </c:pt>
                <c:pt idx="161">
                  <c:v>954.01894200000061</c:v>
                </c:pt>
                <c:pt idx="162">
                  <c:v>1003.4837790000001</c:v>
                </c:pt>
                <c:pt idx="163">
                  <c:v>1016.2771279999997</c:v>
                </c:pt>
                <c:pt idx="164">
                  <c:v>1012.2383709999995</c:v>
                </c:pt>
                <c:pt idx="165">
                  <c:v>1004.5489710000002</c:v>
                </c:pt>
                <c:pt idx="166">
                  <c:v>977.17300199999954</c:v>
                </c:pt>
                <c:pt idx="167">
                  <c:v>946.65725900000052</c:v>
                </c:pt>
                <c:pt idx="168">
                  <c:v>939.20322300000043</c:v>
                </c:pt>
                <c:pt idx="169">
                  <c:v>926.39729299999999</c:v>
                </c:pt>
                <c:pt idx="170">
                  <c:v>916.35998600000039</c:v>
                </c:pt>
                <c:pt idx="171">
                  <c:v>879.90528100000029</c:v>
                </c:pt>
                <c:pt idx="172">
                  <c:v>884.99513400000069</c:v>
                </c:pt>
                <c:pt idx="173">
                  <c:v>879.54492200000095</c:v>
                </c:pt>
                <c:pt idx="174">
                  <c:v>858.09583000000021</c:v>
                </c:pt>
                <c:pt idx="175">
                  <c:v>885.27240200000051</c:v>
                </c:pt>
                <c:pt idx="176">
                  <c:v>866.74878800000079</c:v>
                </c:pt>
                <c:pt idx="177">
                  <c:v>869.40483400000085</c:v>
                </c:pt>
                <c:pt idx="178">
                  <c:v>849.70247000000018</c:v>
                </c:pt>
                <c:pt idx="179">
                  <c:v>825.6544300000005</c:v>
                </c:pt>
                <c:pt idx="180">
                  <c:v>807.743797000001</c:v>
                </c:pt>
                <c:pt idx="181">
                  <c:v>761.24207399999977</c:v>
                </c:pt>
                <c:pt idx="182">
                  <c:v>740.59562499999993</c:v>
                </c:pt>
                <c:pt idx="183">
                  <c:v>739.53467199999977</c:v>
                </c:pt>
                <c:pt idx="184">
                  <c:v>760.78410900000017</c:v>
                </c:pt>
                <c:pt idx="185">
                  <c:v>772.04848599999968</c:v>
                </c:pt>
                <c:pt idx="186">
                  <c:v>739.83012299999973</c:v>
                </c:pt>
                <c:pt idx="187">
                  <c:v>722.8811910000004</c:v>
                </c:pt>
                <c:pt idx="188">
                  <c:v>688.52638200000001</c:v>
                </c:pt>
                <c:pt idx="189">
                  <c:v>736.62557200000083</c:v>
                </c:pt>
                <c:pt idx="190">
                  <c:v>711.1167600000008</c:v>
                </c:pt>
                <c:pt idx="191">
                  <c:v>727.02821399999993</c:v>
                </c:pt>
                <c:pt idx="192">
                  <c:v>734.1823430000004</c:v>
                </c:pt>
                <c:pt idx="193">
                  <c:v>810.42669000000024</c:v>
                </c:pt>
                <c:pt idx="194">
                  <c:v>824.22093200000018</c:v>
                </c:pt>
                <c:pt idx="195">
                  <c:v>823.86496200000056</c:v>
                </c:pt>
                <c:pt idx="196">
                  <c:v>791.49224000000049</c:v>
                </c:pt>
                <c:pt idx="197">
                  <c:v>762.98644800000056</c:v>
                </c:pt>
                <c:pt idx="198">
                  <c:v>753.63108300000022</c:v>
                </c:pt>
                <c:pt idx="199">
                  <c:v>810.92506099999991</c:v>
                </c:pt>
                <c:pt idx="200">
                  <c:v>836.40078999999969</c:v>
                </c:pt>
                <c:pt idx="201">
                  <c:v>830.13220999999976</c:v>
                </c:pt>
                <c:pt idx="202">
                  <c:v>808.45219900000029</c:v>
                </c:pt>
                <c:pt idx="203">
                  <c:v>819.06436700000086</c:v>
                </c:pt>
                <c:pt idx="204">
                  <c:v>821.55834500000037</c:v>
                </c:pt>
                <c:pt idx="205">
                  <c:v>838.05403500000102</c:v>
                </c:pt>
                <c:pt idx="206">
                  <c:v>842.72850300000027</c:v>
                </c:pt>
                <c:pt idx="207">
                  <c:v>861.63175899999987</c:v>
                </c:pt>
                <c:pt idx="208">
                  <c:v>858.85379900000044</c:v>
                </c:pt>
                <c:pt idx="209">
                  <c:v>851.27124800000092</c:v>
                </c:pt>
                <c:pt idx="210">
                  <c:v>849.62566100000004</c:v>
                </c:pt>
                <c:pt idx="211">
                  <c:v>840.1817289999999</c:v>
                </c:pt>
                <c:pt idx="212">
                  <c:v>845.65891399999964</c:v>
                </c:pt>
                <c:pt idx="213">
                  <c:v>823.76821999999993</c:v>
                </c:pt>
                <c:pt idx="214">
                  <c:v>795.04778900000019</c:v>
                </c:pt>
                <c:pt idx="215">
                  <c:v>812.46941800000059</c:v>
                </c:pt>
                <c:pt idx="216">
                  <c:v>804.4303060000002</c:v>
                </c:pt>
                <c:pt idx="217">
                  <c:v>788.86375600000065</c:v>
                </c:pt>
                <c:pt idx="218">
                  <c:v>749.76851200000056</c:v>
                </c:pt>
                <c:pt idx="219">
                  <c:v>719.50199000000066</c:v>
                </c:pt>
                <c:pt idx="220">
                  <c:v>718.11938299999929</c:v>
                </c:pt>
                <c:pt idx="221">
                  <c:v>738.756351</c:v>
                </c:pt>
                <c:pt idx="222">
                  <c:v>767.573128</c:v>
                </c:pt>
                <c:pt idx="223">
                  <c:v>774.21974000000046</c:v>
                </c:pt>
                <c:pt idx="224">
                  <c:v>772.71549600000071</c:v>
                </c:pt>
                <c:pt idx="225">
                  <c:v>761.30328700000064</c:v>
                </c:pt>
                <c:pt idx="226">
                  <c:v>763.30142100000012</c:v>
                </c:pt>
                <c:pt idx="227">
                  <c:v>770.90908099999979</c:v>
                </c:pt>
                <c:pt idx="228">
                  <c:v>767.69702900000084</c:v>
                </c:pt>
                <c:pt idx="229">
                  <c:v>775.60461100000066</c:v>
                </c:pt>
                <c:pt idx="230">
                  <c:v>752.06917700000031</c:v>
                </c:pt>
                <c:pt idx="231">
                  <c:v>752.45331400000032</c:v>
                </c:pt>
                <c:pt idx="232">
                  <c:v>736.36618799999997</c:v>
                </c:pt>
                <c:pt idx="233">
                  <c:v>735.10162800000035</c:v>
                </c:pt>
                <c:pt idx="234">
                  <c:v>756.85282700000062</c:v>
                </c:pt>
                <c:pt idx="235">
                  <c:v>751.59834200000023</c:v>
                </c:pt>
                <c:pt idx="236">
                  <c:v>734.75112900000022</c:v>
                </c:pt>
                <c:pt idx="237">
                  <c:v>734.75112900000022</c:v>
                </c:pt>
                <c:pt idx="238">
                  <c:v>734.75112900000022</c:v>
                </c:pt>
                <c:pt idx="239">
                  <c:v>733.71636000000035</c:v>
                </c:pt>
                <c:pt idx="240">
                  <c:v>733.71636000000035</c:v>
                </c:pt>
                <c:pt idx="241">
                  <c:v>733.71636000000035</c:v>
                </c:pt>
                <c:pt idx="242">
                  <c:v>596.10662500000035</c:v>
                </c:pt>
                <c:pt idx="243">
                  <c:v>620.37480400000049</c:v>
                </c:pt>
                <c:pt idx="244">
                  <c:v>616.63063200000033</c:v>
                </c:pt>
                <c:pt idx="245">
                  <c:v>630.84640700000045</c:v>
                </c:pt>
                <c:pt idx="246">
                  <c:v>637.07645900000034</c:v>
                </c:pt>
                <c:pt idx="247">
                  <c:v>644.29087200000049</c:v>
                </c:pt>
                <c:pt idx="248">
                  <c:v>640.36726100000033</c:v>
                </c:pt>
                <c:pt idx="249">
                  <c:v>620.89354900000035</c:v>
                </c:pt>
                <c:pt idx="250">
                  <c:v>567.61613100000022</c:v>
                </c:pt>
                <c:pt idx="251">
                  <c:v>570.22474300000022</c:v>
                </c:pt>
                <c:pt idx="252">
                  <c:v>567.99446000000034</c:v>
                </c:pt>
                <c:pt idx="253">
                  <c:v>555.96744600000056</c:v>
                </c:pt>
                <c:pt idx="254">
                  <c:v>552.99485400000049</c:v>
                </c:pt>
                <c:pt idx="255">
                  <c:v>555.21835200000032</c:v>
                </c:pt>
                <c:pt idx="256">
                  <c:v>552.28701300000012</c:v>
                </c:pt>
                <c:pt idx="257">
                  <c:v>541.5755450000006</c:v>
                </c:pt>
                <c:pt idx="258">
                  <c:v>541.46501800000033</c:v>
                </c:pt>
                <c:pt idx="259">
                  <c:v>532.14518800000042</c:v>
                </c:pt>
                <c:pt idx="260">
                  <c:v>528.04788800000006</c:v>
                </c:pt>
                <c:pt idx="261">
                  <c:v>516.04106000000047</c:v>
                </c:pt>
                <c:pt idx="262">
                  <c:v>503.74038800000017</c:v>
                </c:pt>
                <c:pt idx="263">
                  <c:v>514.83671800000047</c:v>
                </c:pt>
                <c:pt idx="264">
                  <c:v>503.16476600000033</c:v>
                </c:pt>
                <c:pt idx="265">
                  <c:v>506.66547100000025</c:v>
                </c:pt>
                <c:pt idx="266">
                  <c:v>516.5572460000003</c:v>
                </c:pt>
                <c:pt idx="267">
                  <c:v>506.45861000000014</c:v>
                </c:pt>
                <c:pt idx="268">
                  <c:v>499.62597300000016</c:v>
                </c:pt>
                <c:pt idx="269">
                  <c:v>489.11895199999981</c:v>
                </c:pt>
                <c:pt idx="270">
                  <c:v>492.56030100000044</c:v>
                </c:pt>
                <c:pt idx="271">
                  <c:v>489.84725700000035</c:v>
                </c:pt>
                <c:pt idx="272">
                  <c:v>484.01277800000025</c:v>
                </c:pt>
                <c:pt idx="273">
                  <c:v>465.62609300000031</c:v>
                </c:pt>
                <c:pt idx="274">
                  <c:v>479.13373900000033</c:v>
                </c:pt>
                <c:pt idx="275">
                  <c:v>478.40831400000025</c:v>
                </c:pt>
                <c:pt idx="276">
                  <c:v>478.15643900000032</c:v>
                </c:pt>
                <c:pt idx="277">
                  <c:v>475.97712299999966</c:v>
                </c:pt>
                <c:pt idx="278">
                  <c:v>475.01833499999975</c:v>
                </c:pt>
                <c:pt idx="279">
                  <c:v>467.04253299999982</c:v>
                </c:pt>
                <c:pt idx="280">
                  <c:v>465.51502699999992</c:v>
                </c:pt>
                <c:pt idx="281">
                  <c:v>445.47101800000019</c:v>
                </c:pt>
                <c:pt idx="282">
                  <c:v>450.44520999999986</c:v>
                </c:pt>
                <c:pt idx="283">
                  <c:v>429.45407100000011</c:v>
                </c:pt>
                <c:pt idx="284">
                  <c:v>430.26779600000009</c:v>
                </c:pt>
                <c:pt idx="285">
                  <c:v>437.09435499999972</c:v>
                </c:pt>
                <c:pt idx="286">
                  <c:v>424.16378199999963</c:v>
                </c:pt>
                <c:pt idx="287">
                  <c:v>367.11950199999956</c:v>
                </c:pt>
                <c:pt idx="288">
                  <c:v>354.0841019999998</c:v>
                </c:pt>
                <c:pt idx="289">
                  <c:v>422.11743399999978</c:v>
                </c:pt>
                <c:pt idx="290">
                  <c:v>425.4502109999994</c:v>
                </c:pt>
                <c:pt idx="291">
                  <c:v>485.90125699999953</c:v>
                </c:pt>
                <c:pt idx="292">
                  <c:v>463.9015330000002</c:v>
                </c:pt>
                <c:pt idx="293">
                  <c:v>461.75075000000015</c:v>
                </c:pt>
                <c:pt idx="294">
                  <c:v>469.77883499999916</c:v>
                </c:pt>
                <c:pt idx="295">
                  <c:v>512.8565609999996</c:v>
                </c:pt>
                <c:pt idx="296">
                  <c:v>523.43662800000038</c:v>
                </c:pt>
                <c:pt idx="297">
                  <c:v>550.31227299999955</c:v>
                </c:pt>
                <c:pt idx="298">
                  <c:v>549.21069799999987</c:v>
                </c:pt>
                <c:pt idx="299">
                  <c:v>549.99731699999938</c:v>
                </c:pt>
                <c:pt idx="300">
                  <c:v>553.86725599999954</c:v>
                </c:pt>
                <c:pt idx="301">
                  <c:v>533.63973099999976</c:v>
                </c:pt>
                <c:pt idx="302">
                  <c:v>495.03057199999967</c:v>
                </c:pt>
                <c:pt idx="303">
                  <c:v>516.66989400000011</c:v>
                </c:pt>
                <c:pt idx="304">
                  <c:v>487.46589699999959</c:v>
                </c:pt>
                <c:pt idx="305">
                  <c:v>340.48104299999977</c:v>
                </c:pt>
                <c:pt idx="306">
                  <c:v>355.29506499999934</c:v>
                </c:pt>
                <c:pt idx="307">
                  <c:v>355.22118099999989</c:v>
                </c:pt>
                <c:pt idx="308">
                  <c:v>335.68531100000018</c:v>
                </c:pt>
                <c:pt idx="309">
                  <c:v>349.57464199999959</c:v>
                </c:pt>
                <c:pt idx="310">
                  <c:v>336.39642699999968</c:v>
                </c:pt>
                <c:pt idx="311">
                  <c:v>339.89363799999956</c:v>
                </c:pt>
                <c:pt idx="312">
                  <c:v>331.9323629999999</c:v>
                </c:pt>
                <c:pt idx="313">
                  <c:v>317.26798699999972</c:v>
                </c:pt>
                <c:pt idx="314">
                  <c:v>317.5644269999998</c:v>
                </c:pt>
                <c:pt idx="315">
                  <c:v>316.14629199999945</c:v>
                </c:pt>
                <c:pt idx="316">
                  <c:v>293.83581999999979</c:v>
                </c:pt>
                <c:pt idx="317">
                  <c:v>269.77764399999978</c:v>
                </c:pt>
                <c:pt idx="318">
                  <c:v>250.6203260000002</c:v>
                </c:pt>
                <c:pt idx="319">
                  <c:v>249.87205199999971</c:v>
                </c:pt>
                <c:pt idx="320">
                  <c:v>258.23023599999988</c:v>
                </c:pt>
                <c:pt idx="321">
                  <c:v>240.35934199999974</c:v>
                </c:pt>
                <c:pt idx="322">
                  <c:v>237.76352699999961</c:v>
                </c:pt>
                <c:pt idx="323">
                  <c:v>264.28459299999986</c:v>
                </c:pt>
                <c:pt idx="324">
                  <c:v>279.76995299999953</c:v>
                </c:pt>
                <c:pt idx="325">
                  <c:v>266.08451800000012</c:v>
                </c:pt>
                <c:pt idx="326">
                  <c:v>255.46890799999983</c:v>
                </c:pt>
                <c:pt idx="327">
                  <c:v>296.42087300000003</c:v>
                </c:pt>
                <c:pt idx="328">
                  <c:v>290.61612699999978</c:v>
                </c:pt>
                <c:pt idx="329">
                  <c:v>291.80337499999951</c:v>
                </c:pt>
                <c:pt idx="330">
                  <c:v>277.29647100000011</c:v>
                </c:pt>
                <c:pt idx="331">
                  <c:v>284.24934799999983</c:v>
                </c:pt>
                <c:pt idx="332">
                  <c:v>249.445831</c:v>
                </c:pt>
                <c:pt idx="333">
                  <c:v>250.62200299999995</c:v>
                </c:pt>
                <c:pt idx="334">
                  <c:v>205.68176300000005</c:v>
                </c:pt>
                <c:pt idx="335">
                  <c:v>237.04811100000006</c:v>
                </c:pt>
                <c:pt idx="336">
                  <c:v>216.98276699999997</c:v>
                </c:pt>
                <c:pt idx="337">
                  <c:v>246.55764099999988</c:v>
                </c:pt>
                <c:pt idx="338">
                  <c:v>281.51892399999997</c:v>
                </c:pt>
                <c:pt idx="339">
                  <c:v>303.28256099999953</c:v>
                </c:pt>
                <c:pt idx="340">
                  <c:v>263.62477199999967</c:v>
                </c:pt>
                <c:pt idx="341">
                  <c:v>256.26344500000005</c:v>
                </c:pt>
                <c:pt idx="342">
                  <c:v>306.07060000000001</c:v>
                </c:pt>
                <c:pt idx="343">
                  <c:v>293.51602199999979</c:v>
                </c:pt>
                <c:pt idx="344">
                  <c:v>298.70067199999994</c:v>
                </c:pt>
                <c:pt idx="345">
                  <c:v>332.92726499999981</c:v>
                </c:pt>
                <c:pt idx="346">
                  <c:v>330.63536500000009</c:v>
                </c:pt>
                <c:pt idx="347">
                  <c:v>340.80439699999988</c:v>
                </c:pt>
                <c:pt idx="348">
                  <c:v>348.64239899999984</c:v>
                </c:pt>
                <c:pt idx="349">
                  <c:v>352.30667499999981</c:v>
                </c:pt>
                <c:pt idx="350">
                  <c:v>345.21791899999971</c:v>
                </c:pt>
                <c:pt idx="351">
                  <c:v>338.61257799999976</c:v>
                </c:pt>
                <c:pt idx="352">
                  <c:v>338.43365799999992</c:v>
                </c:pt>
                <c:pt idx="353">
                  <c:v>337.48645499999975</c:v>
                </c:pt>
                <c:pt idx="354">
                  <c:v>324.64827999999989</c:v>
                </c:pt>
                <c:pt idx="355">
                  <c:v>315.10925199999974</c:v>
                </c:pt>
                <c:pt idx="356">
                  <c:v>297.85793899999953</c:v>
                </c:pt>
                <c:pt idx="357">
                  <c:v>296.19297499999993</c:v>
                </c:pt>
                <c:pt idx="358">
                  <c:v>272.84174100000018</c:v>
                </c:pt>
                <c:pt idx="359">
                  <c:v>239.83758899999975</c:v>
                </c:pt>
                <c:pt idx="360">
                  <c:v>266.43591900000001</c:v>
                </c:pt>
                <c:pt idx="361">
                  <c:v>255.68720899999971</c:v>
                </c:pt>
                <c:pt idx="362">
                  <c:v>295.01970099999971</c:v>
                </c:pt>
                <c:pt idx="363">
                  <c:v>299.9861249999999</c:v>
                </c:pt>
                <c:pt idx="364">
                  <c:v>292.79127799999969</c:v>
                </c:pt>
                <c:pt idx="365">
                  <c:v>292.52196999999978</c:v>
                </c:pt>
                <c:pt idx="366">
                  <c:v>285.38885200000004</c:v>
                </c:pt>
                <c:pt idx="367">
                  <c:v>259.02602100000013</c:v>
                </c:pt>
                <c:pt idx="368">
                  <c:v>239.45352000000003</c:v>
                </c:pt>
                <c:pt idx="369">
                  <c:v>250.98367099999996</c:v>
                </c:pt>
                <c:pt idx="370">
                  <c:v>254.42511899999954</c:v>
                </c:pt>
                <c:pt idx="371">
                  <c:v>248.88991100000021</c:v>
                </c:pt>
                <c:pt idx="372">
                  <c:v>243.79026299999987</c:v>
                </c:pt>
                <c:pt idx="373">
                  <c:v>259.18889399999989</c:v>
                </c:pt>
                <c:pt idx="374">
                  <c:v>246.85137499999973</c:v>
                </c:pt>
                <c:pt idx="375">
                  <c:v>213.67290400000002</c:v>
                </c:pt>
                <c:pt idx="376">
                  <c:v>222.74863400000004</c:v>
                </c:pt>
                <c:pt idx="377">
                  <c:v>207.73655899999949</c:v>
                </c:pt>
                <c:pt idx="378">
                  <c:v>227.35801799999945</c:v>
                </c:pt>
                <c:pt idx="379">
                  <c:v>226.94663499999979</c:v>
                </c:pt>
                <c:pt idx="380">
                  <c:v>223.96618799999987</c:v>
                </c:pt>
                <c:pt idx="381">
                  <c:v>225.698398</c:v>
                </c:pt>
                <c:pt idx="382">
                  <c:v>217.23639599999979</c:v>
                </c:pt>
                <c:pt idx="383">
                  <c:v>214.55961899999966</c:v>
                </c:pt>
                <c:pt idx="384">
                  <c:v>219.42934999999989</c:v>
                </c:pt>
                <c:pt idx="385">
                  <c:v>212.03089399999953</c:v>
                </c:pt>
                <c:pt idx="386">
                  <c:v>213.12477899999976</c:v>
                </c:pt>
                <c:pt idx="387">
                  <c:v>207.56219600000009</c:v>
                </c:pt>
                <c:pt idx="388">
                  <c:v>196.16402999999991</c:v>
                </c:pt>
                <c:pt idx="389">
                  <c:v>189.49759900000004</c:v>
                </c:pt>
                <c:pt idx="390">
                  <c:v>173.75738699999988</c:v>
                </c:pt>
                <c:pt idx="391">
                  <c:v>168.99704999999994</c:v>
                </c:pt>
                <c:pt idx="392">
                  <c:v>173.51422399999979</c:v>
                </c:pt>
                <c:pt idx="393">
                  <c:v>166.05881899999986</c:v>
                </c:pt>
                <c:pt idx="394">
                  <c:v>188.73959799999989</c:v>
                </c:pt>
                <c:pt idx="395">
                  <c:v>182.76109800000017</c:v>
                </c:pt>
                <c:pt idx="396">
                  <c:v>177.30178599999999</c:v>
                </c:pt>
                <c:pt idx="397">
                  <c:v>168.48116800000003</c:v>
                </c:pt>
                <c:pt idx="398">
                  <c:v>165.56130900000016</c:v>
                </c:pt>
                <c:pt idx="399">
                  <c:v>165.72924899999998</c:v>
                </c:pt>
                <c:pt idx="400">
                  <c:v>150.91439499999979</c:v>
                </c:pt>
                <c:pt idx="401">
                  <c:v>153.17921899999988</c:v>
                </c:pt>
                <c:pt idx="402">
                  <c:v>142.77458700000011</c:v>
                </c:pt>
                <c:pt idx="403">
                  <c:v>137.26233399999978</c:v>
                </c:pt>
                <c:pt idx="404">
                  <c:v>122.18701099999998</c:v>
                </c:pt>
                <c:pt idx="405">
                  <c:v>116.73762099999999</c:v>
                </c:pt>
                <c:pt idx="406">
                  <c:v>122.6637760000001</c:v>
                </c:pt>
                <c:pt idx="407">
                  <c:v>111.7731859999999</c:v>
                </c:pt>
                <c:pt idx="408">
                  <c:v>120.29179699999986</c:v>
                </c:pt>
                <c:pt idx="409">
                  <c:v>121.92645999999991</c:v>
                </c:pt>
                <c:pt idx="410">
                  <c:v>112.35411399999975</c:v>
                </c:pt>
                <c:pt idx="411">
                  <c:v>100.3120399999998</c:v>
                </c:pt>
                <c:pt idx="412">
                  <c:v>57.621369999999843</c:v>
                </c:pt>
                <c:pt idx="413">
                  <c:v>52.913654999999835</c:v>
                </c:pt>
                <c:pt idx="414">
                  <c:v>56.386112000000139</c:v>
                </c:pt>
                <c:pt idx="415">
                  <c:v>59.299749999999904</c:v>
                </c:pt>
                <c:pt idx="416">
                  <c:v>58.614945999999918</c:v>
                </c:pt>
                <c:pt idx="417">
                  <c:v>51.555251999999882</c:v>
                </c:pt>
                <c:pt idx="418">
                  <c:v>41.824149999999918</c:v>
                </c:pt>
                <c:pt idx="419">
                  <c:v>50.817755000000034</c:v>
                </c:pt>
                <c:pt idx="420">
                  <c:v>47.875565000000051</c:v>
                </c:pt>
                <c:pt idx="421">
                  <c:v>73.235595000000103</c:v>
                </c:pt>
                <c:pt idx="422">
                  <c:v>56.216836999999941</c:v>
                </c:pt>
                <c:pt idx="423">
                  <c:v>97.250510000000077</c:v>
                </c:pt>
                <c:pt idx="424">
                  <c:v>90.309393999999884</c:v>
                </c:pt>
                <c:pt idx="425">
                  <c:v>109.19915500000002</c:v>
                </c:pt>
                <c:pt idx="426">
                  <c:v>103.44726999999989</c:v>
                </c:pt>
                <c:pt idx="427">
                  <c:v>101.64463299999989</c:v>
                </c:pt>
                <c:pt idx="428">
                  <c:v>103.19847600000003</c:v>
                </c:pt>
                <c:pt idx="429">
                  <c:v>98.848619999999983</c:v>
                </c:pt>
                <c:pt idx="430">
                  <c:v>117.51052699999991</c:v>
                </c:pt>
                <c:pt idx="431">
                  <c:v>121.21420699999999</c:v>
                </c:pt>
                <c:pt idx="432">
                  <c:v>127.53229999999985</c:v>
                </c:pt>
                <c:pt idx="433">
                  <c:v>135.88111600000002</c:v>
                </c:pt>
                <c:pt idx="434">
                  <c:v>137.30280399999992</c:v>
                </c:pt>
                <c:pt idx="435">
                  <c:v>111.88892099999998</c:v>
                </c:pt>
                <c:pt idx="436">
                  <c:v>96.848993999999948</c:v>
                </c:pt>
                <c:pt idx="437">
                  <c:v>91.235421000000088</c:v>
                </c:pt>
                <c:pt idx="438">
                  <c:v>72.219046000000162</c:v>
                </c:pt>
                <c:pt idx="439">
                  <c:v>89.745100999999977</c:v>
                </c:pt>
                <c:pt idx="440">
                  <c:v>67.262566000000106</c:v>
                </c:pt>
                <c:pt idx="441">
                  <c:v>90.466012000000092</c:v>
                </c:pt>
                <c:pt idx="442">
                  <c:v>75.482811000000083</c:v>
                </c:pt>
                <c:pt idx="443">
                  <c:v>67.629245000000083</c:v>
                </c:pt>
                <c:pt idx="444">
                  <c:v>70.02425200000016</c:v>
                </c:pt>
                <c:pt idx="445">
                  <c:v>51.948681999999962</c:v>
                </c:pt>
                <c:pt idx="446">
                  <c:v>30.351439999999911</c:v>
                </c:pt>
                <c:pt idx="447">
                  <c:v>27.517879999999877</c:v>
                </c:pt>
                <c:pt idx="448">
                  <c:v>57.457078000000138</c:v>
                </c:pt>
                <c:pt idx="449">
                  <c:v>41.297882999999956</c:v>
                </c:pt>
                <c:pt idx="450">
                  <c:v>43.811568999999963</c:v>
                </c:pt>
                <c:pt idx="451">
                  <c:v>55.293699999999944</c:v>
                </c:pt>
                <c:pt idx="452">
                  <c:v>68.991039999999884</c:v>
                </c:pt>
                <c:pt idx="453">
                  <c:v>82.25323000000003</c:v>
                </c:pt>
                <c:pt idx="454">
                  <c:v>69.410699999999906</c:v>
                </c:pt>
                <c:pt idx="455">
                  <c:v>50.983969999999999</c:v>
                </c:pt>
                <c:pt idx="456">
                  <c:v>53.381069999999909</c:v>
                </c:pt>
                <c:pt idx="457">
                  <c:v>73.200670000000173</c:v>
                </c:pt>
                <c:pt idx="458">
                  <c:v>44.695429999999988</c:v>
                </c:pt>
                <c:pt idx="459">
                  <c:v>88.603090000000066</c:v>
                </c:pt>
                <c:pt idx="460">
                  <c:v>103.00857999999994</c:v>
                </c:pt>
                <c:pt idx="461">
                  <c:v>158.3898099999999</c:v>
                </c:pt>
                <c:pt idx="462">
                  <c:v>146.1063200000001</c:v>
                </c:pt>
                <c:pt idx="463">
                  <c:v>131.18005999999991</c:v>
                </c:pt>
                <c:pt idx="464">
                  <c:v>125.46879999999987</c:v>
                </c:pt>
                <c:pt idx="465">
                  <c:v>118.13911000000007</c:v>
                </c:pt>
                <c:pt idx="466">
                  <c:v>121.3608999999999</c:v>
                </c:pt>
                <c:pt idx="467">
                  <c:v>100.72548999999981</c:v>
                </c:pt>
                <c:pt idx="468">
                  <c:v>91.824799999999868</c:v>
                </c:pt>
                <c:pt idx="469">
                  <c:v>83.251430000000028</c:v>
                </c:pt>
                <c:pt idx="470">
                  <c:v>77.474680000000035</c:v>
                </c:pt>
                <c:pt idx="471">
                  <c:v>65.933429999999817</c:v>
                </c:pt>
                <c:pt idx="472">
                  <c:v>71.113100000000031</c:v>
                </c:pt>
                <c:pt idx="473">
                  <c:v>62.72239999999988</c:v>
                </c:pt>
                <c:pt idx="474">
                  <c:v>52.46943999999985</c:v>
                </c:pt>
                <c:pt idx="475">
                  <c:v>54.717269999999871</c:v>
                </c:pt>
                <c:pt idx="476">
                  <c:v>51.355209999999943</c:v>
                </c:pt>
                <c:pt idx="477">
                  <c:v>29.193489999999883</c:v>
                </c:pt>
                <c:pt idx="478">
                  <c:v>44.693719999999985</c:v>
                </c:pt>
                <c:pt idx="479">
                  <c:v>49.079359999999951</c:v>
                </c:pt>
                <c:pt idx="480">
                  <c:v>58.292969999999968</c:v>
                </c:pt>
                <c:pt idx="481">
                  <c:v>47.450189999999793</c:v>
                </c:pt>
                <c:pt idx="482">
                  <c:v>40.721099999999979</c:v>
                </c:pt>
                <c:pt idx="483">
                  <c:v>37.249039999999923</c:v>
                </c:pt>
                <c:pt idx="484">
                  <c:v>23.879379999999855</c:v>
                </c:pt>
                <c:pt idx="485">
                  <c:v>9.8824700000000121</c:v>
                </c:pt>
                <c:pt idx="486">
                  <c:v>6.5060300000000097</c:v>
                </c:pt>
                <c:pt idx="487">
                  <c:v>-6.4226700000001529</c:v>
                </c:pt>
                <c:pt idx="488">
                  <c:v>5.9536599999998998</c:v>
                </c:pt>
                <c:pt idx="489">
                  <c:v>-9.3049100000002909</c:v>
                </c:pt>
                <c:pt idx="490">
                  <c:v>-1.9040600000000723</c:v>
                </c:pt>
                <c:pt idx="491">
                  <c:v>20.241829999999936</c:v>
                </c:pt>
                <c:pt idx="492">
                  <c:v>16.992040000000088</c:v>
                </c:pt>
                <c:pt idx="493">
                  <c:v>24.471389999999928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2-4414-9F66-9CC387844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021455"/>
        <c:axId val="1805029775"/>
      </c:lineChart>
      <c:dateAx>
        <c:axId val="1805021455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9775"/>
        <c:crosses val="autoZero"/>
        <c:auto val="1"/>
        <c:lblOffset val="100"/>
        <c:baseTimeUnit val="days"/>
      </c:dateAx>
      <c:valAx>
        <c:axId val="18050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MainSheet!$AP$1</c:f>
              <c:strCache>
                <c:ptCount val="1"/>
                <c:pt idx="0">
                  <c:v> Total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MainSheet!$V$2:$V$498</c:f>
              <c:numCache>
                <c:formatCode>m/d/yy;@</c:formatCode>
                <c:ptCount val="497"/>
                <c:pt idx="0">
                  <c:v>44747</c:v>
                </c:pt>
                <c:pt idx="1">
                  <c:v>44743</c:v>
                </c:pt>
                <c:pt idx="2">
                  <c:v>44742</c:v>
                </c:pt>
                <c:pt idx="3">
                  <c:v>44741</c:v>
                </c:pt>
                <c:pt idx="4">
                  <c:v>44740</c:v>
                </c:pt>
                <c:pt idx="5">
                  <c:v>44739</c:v>
                </c:pt>
                <c:pt idx="6">
                  <c:v>44736</c:v>
                </c:pt>
                <c:pt idx="7">
                  <c:v>44735</c:v>
                </c:pt>
                <c:pt idx="8">
                  <c:v>44734</c:v>
                </c:pt>
                <c:pt idx="9">
                  <c:v>44733</c:v>
                </c:pt>
                <c:pt idx="10">
                  <c:v>44729</c:v>
                </c:pt>
                <c:pt idx="11">
                  <c:v>44728</c:v>
                </c:pt>
                <c:pt idx="12">
                  <c:v>44727</c:v>
                </c:pt>
                <c:pt idx="13">
                  <c:v>44726</c:v>
                </c:pt>
                <c:pt idx="14">
                  <c:v>44725</c:v>
                </c:pt>
                <c:pt idx="15">
                  <c:v>44722</c:v>
                </c:pt>
                <c:pt idx="16">
                  <c:v>44721</c:v>
                </c:pt>
                <c:pt idx="17">
                  <c:v>44720</c:v>
                </c:pt>
                <c:pt idx="18">
                  <c:v>44719</c:v>
                </c:pt>
                <c:pt idx="19">
                  <c:v>44718</c:v>
                </c:pt>
                <c:pt idx="20">
                  <c:v>44715</c:v>
                </c:pt>
                <c:pt idx="21">
                  <c:v>44714</c:v>
                </c:pt>
                <c:pt idx="22">
                  <c:v>44713</c:v>
                </c:pt>
                <c:pt idx="23">
                  <c:v>44712</c:v>
                </c:pt>
                <c:pt idx="24">
                  <c:v>44708</c:v>
                </c:pt>
                <c:pt idx="25">
                  <c:v>44707</c:v>
                </c:pt>
                <c:pt idx="26">
                  <c:v>44706</c:v>
                </c:pt>
                <c:pt idx="27">
                  <c:v>44705</c:v>
                </c:pt>
                <c:pt idx="28">
                  <c:v>44704</c:v>
                </c:pt>
                <c:pt idx="29">
                  <c:v>44701</c:v>
                </c:pt>
                <c:pt idx="30">
                  <c:v>44700</c:v>
                </c:pt>
                <c:pt idx="31">
                  <c:v>44699</c:v>
                </c:pt>
                <c:pt idx="32">
                  <c:v>44698</c:v>
                </c:pt>
                <c:pt idx="33">
                  <c:v>44697</c:v>
                </c:pt>
                <c:pt idx="34">
                  <c:v>44694</c:v>
                </c:pt>
                <c:pt idx="35">
                  <c:v>44693</c:v>
                </c:pt>
                <c:pt idx="36">
                  <c:v>44692</c:v>
                </c:pt>
                <c:pt idx="37">
                  <c:v>44691</c:v>
                </c:pt>
                <c:pt idx="38">
                  <c:v>44690</c:v>
                </c:pt>
                <c:pt idx="39">
                  <c:v>44687</c:v>
                </c:pt>
                <c:pt idx="40">
                  <c:v>44686</c:v>
                </c:pt>
                <c:pt idx="41">
                  <c:v>44685</c:v>
                </c:pt>
                <c:pt idx="42">
                  <c:v>44684</c:v>
                </c:pt>
                <c:pt idx="43">
                  <c:v>44683</c:v>
                </c:pt>
                <c:pt idx="44">
                  <c:v>44680</c:v>
                </c:pt>
                <c:pt idx="45">
                  <c:v>44679</c:v>
                </c:pt>
                <c:pt idx="46">
                  <c:v>44678</c:v>
                </c:pt>
                <c:pt idx="47">
                  <c:v>44677</c:v>
                </c:pt>
                <c:pt idx="48">
                  <c:v>44676</c:v>
                </c:pt>
                <c:pt idx="49">
                  <c:v>44673</c:v>
                </c:pt>
                <c:pt idx="50">
                  <c:v>44672</c:v>
                </c:pt>
                <c:pt idx="51">
                  <c:v>44671</c:v>
                </c:pt>
                <c:pt idx="52">
                  <c:v>44670</c:v>
                </c:pt>
                <c:pt idx="53">
                  <c:v>44669</c:v>
                </c:pt>
                <c:pt idx="54">
                  <c:v>44665</c:v>
                </c:pt>
                <c:pt idx="55">
                  <c:v>44664</c:v>
                </c:pt>
                <c:pt idx="56">
                  <c:v>44663</c:v>
                </c:pt>
                <c:pt idx="57">
                  <c:v>44662</c:v>
                </c:pt>
                <c:pt idx="58">
                  <c:v>44659</c:v>
                </c:pt>
                <c:pt idx="59">
                  <c:v>44658</c:v>
                </c:pt>
                <c:pt idx="60">
                  <c:v>44657</c:v>
                </c:pt>
                <c:pt idx="61">
                  <c:v>44656</c:v>
                </c:pt>
                <c:pt idx="62">
                  <c:v>44655</c:v>
                </c:pt>
                <c:pt idx="63">
                  <c:v>44652</c:v>
                </c:pt>
                <c:pt idx="64">
                  <c:v>44651</c:v>
                </c:pt>
                <c:pt idx="65">
                  <c:v>44650</c:v>
                </c:pt>
                <c:pt idx="66">
                  <c:v>44649</c:v>
                </c:pt>
                <c:pt idx="67">
                  <c:v>44648</c:v>
                </c:pt>
                <c:pt idx="68">
                  <c:v>44645</c:v>
                </c:pt>
                <c:pt idx="69">
                  <c:v>44644</c:v>
                </c:pt>
                <c:pt idx="70">
                  <c:v>44643</c:v>
                </c:pt>
                <c:pt idx="71">
                  <c:v>44642</c:v>
                </c:pt>
                <c:pt idx="72">
                  <c:v>44641</c:v>
                </c:pt>
                <c:pt idx="73">
                  <c:v>44638</c:v>
                </c:pt>
                <c:pt idx="74">
                  <c:v>44637</c:v>
                </c:pt>
                <c:pt idx="75">
                  <c:v>44636</c:v>
                </c:pt>
                <c:pt idx="76">
                  <c:v>44635</c:v>
                </c:pt>
                <c:pt idx="77">
                  <c:v>44634</c:v>
                </c:pt>
                <c:pt idx="78">
                  <c:v>44631</c:v>
                </c:pt>
                <c:pt idx="79">
                  <c:v>44630</c:v>
                </c:pt>
                <c:pt idx="80">
                  <c:v>44629</c:v>
                </c:pt>
                <c:pt idx="81">
                  <c:v>44628</c:v>
                </c:pt>
                <c:pt idx="82">
                  <c:v>44627</c:v>
                </c:pt>
                <c:pt idx="83">
                  <c:v>44624</c:v>
                </c:pt>
                <c:pt idx="84">
                  <c:v>44623</c:v>
                </c:pt>
                <c:pt idx="85">
                  <c:v>44622</c:v>
                </c:pt>
                <c:pt idx="86">
                  <c:v>44621</c:v>
                </c:pt>
                <c:pt idx="87">
                  <c:v>44620</c:v>
                </c:pt>
                <c:pt idx="88">
                  <c:v>44617</c:v>
                </c:pt>
                <c:pt idx="89">
                  <c:v>44616</c:v>
                </c:pt>
                <c:pt idx="90">
                  <c:v>44615</c:v>
                </c:pt>
                <c:pt idx="91">
                  <c:v>44614</c:v>
                </c:pt>
                <c:pt idx="92">
                  <c:v>44610</c:v>
                </c:pt>
                <c:pt idx="93">
                  <c:v>44609</c:v>
                </c:pt>
                <c:pt idx="94">
                  <c:v>44608</c:v>
                </c:pt>
                <c:pt idx="95">
                  <c:v>44607</c:v>
                </c:pt>
                <c:pt idx="96">
                  <c:v>44606</c:v>
                </c:pt>
                <c:pt idx="97">
                  <c:v>44603</c:v>
                </c:pt>
                <c:pt idx="98">
                  <c:v>44602</c:v>
                </c:pt>
                <c:pt idx="99">
                  <c:v>44601</c:v>
                </c:pt>
                <c:pt idx="100">
                  <c:v>44600</c:v>
                </c:pt>
                <c:pt idx="101">
                  <c:v>44599</c:v>
                </c:pt>
                <c:pt idx="102">
                  <c:v>44596</c:v>
                </c:pt>
                <c:pt idx="103">
                  <c:v>44595</c:v>
                </c:pt>
                <c:pt idx="104">
                  <c:v>44594</c:v>
                </c:pt>
                <c:pt idx="105">
                  <c:v>44593</c:v>
                </c:pt>
                <c:pt idx="106">
                  <c:v>44592</c:v>
                </c:pt>
                <c:pt idx="107">
                  <c:v>44589</c:v>
                </c:pt>
                <c:pt idx="108">
                  <c:v>44588</c:v>
                </c:pt>
                <c:pt idx="109">
                  <c:v>44587</c:v>
                </c:pt>
                <c:pt idx="110">
                  <c:v>44586</c:v>
                </c:pt>
                <c:pt idx="111">
                  <c:v>44585</c:v>
                </c:pt>
                <c:pt idx="112">
                  <c:v>44582</c:v>
                </c:pt>
                <c:pt idx="113">
                  <c:v>44581</c:v>
                </c:pt>
                <c:pt idx="114">
                  <c:v>44580</c:v>
                </c:pt>
                <c:pt idx="115">
                  <c:v>44579</c:v>
                </c:pt>
                <c:pt idx="116">
                  <c:v>44575</c:v>
                </c:pt>
                <c:pt idx="117">
                  <c:v>44574</c:v>
                </c:pt>
                <c:pt idx="118">
                  <c:v>44573</c:v>
                </c:pt>
                <c:pt idx="119">
                  <c:v>44572</c:v>
                </c:pt>
                <c:pt idx="120">
                  <c:v>44571</c:v>
                </c:pt>
                <c:pt idx="121">
                  <c:v>44568</c:v>
                </c:pt>
                <c:pt idx="122">
                  <c:v>44567</c:v>
                </c:pt>
                <c:pt idx="123">
                  <c:v>44566</c:v>
                </c:pt>
                <c:pt idx="124">
                  <c:v>44565</c:v>
                </c:pt>
                <c:pt idx="125">
                  <c:v>44564</c:v>
                </c:pt>
                <c:pt idx="126">
                  <c:v>44561</c:v>
                </c:pt>
                <c:pt idx="127">
                  <c:v>44560</c:v>
                </c:pt>
                <c:pt idx="128">
                  <c:v>44559</c:v>
                </c:pt>
                <c:pt idx="129">
                  <c:v>44558</c:v>
                </c:pt>
                <c:pt idx="130">
                  <c:v>44557</c:v>
                </c:pt>
                <c:pt idx="131">
                  <c:v>44553</c:v>
                </c:pt>
                <c:pt idx="132">
                  <c:v>44552</c:v>
                </c:pt>
                <c:pt idx="133">
                  <c:v>44551</c:v>
                </c:pt>
                <c:pt idx="134">
                  <c:v>44550</c:v>
                </c:pt>
                <c:pt idx="135">
                  <c:v>44547</c:v>
                </c:pt>
                <c:pt idx="136">
                  <c:v>44546</c:v>
                </c:pt>
                <c:pt idx="137">
                  <c:v>44545</c:v>
                </c:pt>
                <c:pt idx="138">
                  <c:v>44544</c:v>
                </c:pt>
                <c:pt idx="139">
                  <c:v>44543</c:v>
                </c:pt>
                <c:pt idx="140">
                  <c:v>44540</c:v>
                </c:pt>
                <c:pt idx="141">
                  <c:v>44539</c:v>
                </c:pt>
                <c:pt idx="142">
                  <c:v>44538</c:v>
                </c:pt>
                <c:pt idx="143">
                  <c:v>44537</c:v>
                </c:pt>
                <c:pt idx="144">
                  <c:v>44536</c:v>
                </c:pt>
                <c:pt idx="145">
                  <c:v>44533</c:v>
                </c:pt>
                <c:pt idx="146">
                  <c:v>44532</c:v>
                </c:pt>
                <c:pt idx="147">
                  <c:v>44531</c:v>
                </c:pt>
                <c:pt idx="148">
                  <c:v>44530</c:v>
                </c:pt>
                <c:pt idx="149">
                  <c:v>44529</c:v>
                </c:pt>
                <c:pt idx="150">
                  <c:v>44526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44442</c:v>
                </c:pt>
                <c:pt idx="209">
                  <c:v>44441</c:v>
                </c:pt>
                <c:pt idx="210">
                  <c:v>44440</c:v>
                </c:pt>
                <c:pt idx="211">
                  <c:v>44439</c:v>
                </c:pt>
                <c:pt idx="212">
                  <c:v>44438</c:v>
                </c:pt>
                <c:pt idx="213">
                  <c:v>44435</c:v>
                </c:pt>
                <c:pt idx="214">
                  <c:v>44434</c:v>
                </c:pt>
                <c:pt idx="215">
                  <c:v>44433</c:v>
                </c:pt>
                <c:pt idx="216">
                  <c:v>44432</c:v>
                </c:pt>
                <c:pt idx="217">
                  <c:v>44431</c:v>
                </c:pt>
                <c:pt idx="218">
                  <c:v>44428</c:v>
                </c:pt>
                <c:pt idx="219">
                  <c:v>44427</c:v>
                </c:pt>
                <c:pt idx="220">
                  <c:v>44426</c:v>
                </c:pt>
                <c:pt idx="221">
                  <c:v>44425</c:v>
                </c:pt>
                <c:pt idx="222">
                  <c:v>44424</c:v>
                </c:pt>
                <c:pt idx="223">
                  <c:v>44421</c:v>
                </c:pt>
                <c:pt idx="224">
                  <c:v>44420</c:v>
                </c:pt>
                <c:pt idx="225">
                  <c:v>44419</c:v>
                </c:pt>
                <c:pt idx="226">
                  <c:v>44418</c:v>
                </c:pt>
                <c:pt idx="227">
                  <c:v>44417</c:v>
                </c:pt>
                <c:pt idx="228">
                  <c:v>44414</c:v>
                </c:pt>
                <c:pt idx="229">
                  <c:v>44413</c:v>
                </c:pt>
                <c:pt idx="230">
                  <c:v>44412</c:v>
                </c:pt>
                <c:pt idx="231">
                  <c:v>44411</c:v>
                </c:pt>
                <c:pt idx="232">
                  <c:v>44410</c:v>
                </c:pt>
                <c:pt idx="233">
                  <c:v>44407</c:v>
                </c:pt>
                <c:pt idx="234">
                  <c:v>44406</c:v>
                </c:pt>
                <c:pt idx="235">
                  <c:v>44405</c:v>
                </c:pt>
                <c:pt idx="236">
                  <c:v>44404</c:v>
                </c:pt>
                <c:pt idx="237">
                  <c:v>44404</c:v>
                </c:pt>
                <c:pt idx="238">
                  <c:v>44404</c:v>
                </c:pt>
                <c:pt idx="239">
                  <c:v>44399</c:v>
                </c:pt>
                <c:pt idx="240">
                  <c:v>44399</c:v>
                </c:pt>
                <c:pt idx="241">
                  <c:v>44399</c:v>
                </c:pt>
                <c:pt idx="242">
                  <c:v>44396</c:v>
                </c:pt>
                <c:pt idx="243">
                  <c:v>44393</c:v>
                </c:pt>
                <c:pt idx="244">
                  <c:v>44392</c:v>
                </c:pt>
                <c:pt idx="245">
                  <c:v>44391</c:v>
                </c:pt>
                <c:pt idx="246">
                  <c:v>44390</c:v>
                </c:pt>
                <c:pt idx="247">
                  <c:v>44389</c:v>
                </c:pt>
                <c:pt idx="248">
                  <c:v>44386</c:v>
                </c:pt>
                <c:pt idx="249">
                  <c:v>44385</c:v>
                </c:pt>
                <c:pt idx="250">
                  <c:v>44384</c:v>
                </c:pt>
                <c:pt idx="251">
                  <c:v>44383</c:v>
                </c:pt>
                <c:pt idx="252">
                  <c:v>44379</c:v>
                </c:pt>
                <c:pt idx="253">
                  <c:v>44378</c:v>
                </c:pt>
                <c:pt idx="254">
                  <c:v>44377</c:v>
                </c:pt>
                <c:pt idx="255">
                  <c:v>44376</c:v>
                </c:pt>
                <c:pt idx="256">
                  <c:v>44375</c:v>
                </c:pt>
                <c:pt idx="257">
                  <c:v>44372</c:v>
                </c:pt>
                <c:pt idx="258">
                  <c:v>44371</c:v>
                </c:pt>
                <c:pt idx="259">
                  <c:v>44370</c:v>
                </c:pt>
                <c:pt idx="260">
                  <c:v>44369</c:v>
                </c:pt>
                <c:pt idx="261">
                  <c:v>44368</c:v>
                </c:pt>
                <c:pt idx="262">
                  <c:v>44365</c:v>
                </c:pt>
                <c:pt idx="263">
                  <c:v>44364</c:v>
                </c:pt>
                <c:pt idx="264">
                  <c:v>44363</c:v>
                </c:pt>
                <c:pt idx="265">
                  <c:v>44362</c:v>
                </c:pt>
                <c:pt idx="266">
                  <c:v>44361</c:v>
                </c:pt>
                <c:pt idx="267">
                  <c:v>44358</c:v>
                </c:pt>
                <c:pt idx="268">
                  <c:v>44357</c:v>
                </c:pt>
                <c:pt idx="269">
                  <c:v>44356</c:v>
                </c:pt>
                <c:pt idx="270">
                  <c:v>44355</c:v>
                </c:pt>
                <c:pt idx="271">
                  <c:v>44354</c:v>
                </c:pt>
                <c:pt idx="272">
                  <c:v>44351</c:v>
                </c:pt>
                <c:pt idx="273">
                  <c:v>44350</c:v>
                </c:pt>
                <c:pt idx="274">
                  <c:v>44349</c:v>
                </c:pt>
                <c:pt idx="275">
                  <c:v>44348</c:v>
                </c:pt>
                <c:pt idx="276">
                  <c:v>44344</c:v>
                </c:pt>
                <c:pt idx="277">
                  <c:v>44343</c:v>
                </c:pt>
                <c:pt idx="278">
                  <c:v>44342</c:v>
                </c:pt>
                <c:pt idx="279">
                  <c:v>44341</c:v>
                </c:pt>
                <c:pt idx="280">
                  <c:v>44340</c:v>
                </c:pt>
                <c:pt idx="281">
                  <c:v>44337</c:v>
                </c:pt>
                <c:pt idx="282">
                  <c:v>44336</c:v>
                </c:pt>
                <c:pt idx="283">
                  <c:v>44335</c:v>
                </c:pt>
                <c:pt idx="284">
                  <c:v>44334</c:v>
                </c:pt>
                <c:pt idx="285">
                  <c:v>44333</c:v>
                </c:pt>
                <c:pt idx="286">
                  <c:v>44330</c:v>
                </c:pt>
                <c:pt idx="287">
                  <c:v>44329</c:v>
                </c:pt>
                <c:pt idx="288">
                  <c:v>44328</c:v>
                </c:pt>
                <c:pt idx="289">
                  <c:v>44327</c:v>
                </c:pt>
                <c:pt idx="290">
                  <c:v>44326</c:v>
                </c:pt>
                <c:pt idx="291">
                  <c:v>44323</c:v>
                </c:pt>
                <c:pt idx="292">
                  <c:v>44322</c:v>
                </c:pt>
                <c:pt idx="293">
                  <c:v>44321</c:v>
                </c:pt>
                <c:pt idx="294">
                  <c:v>44320</c:v>
                </c:pt>
                <c:pt idx="295">
                  <c:v>44319</c:v>
                </c:pt>
                <c:pt idx="296">
                  <c:v>44316</c:v>
                </c:pt>
                <c:pt idx="297">
                  <c:v>44315</c:v>
                </c:pt>
                <c:pt idx="298">
                  <c:v>44314</c:v>
                </c:pt>
                <c:pt idx="299">
                  <c:v>44313</c:v>
                </c:pt>
                <c:pt idx="300">
                  <c:v>44312</c:v>
                </c:pt>
                <c:pt idx="301">
                  <c:v>44309</c:v>
                </c:pt>
                <c:pt idx="302">
                  <c:v>44308</c:v>
                </c:pt>
                <c:pt idx="303">
                  <c:v>44307</c:v>
                </c:pt>
                <c:pt idx="304">
                  <c:v>44306</c:v>
                </c:pt>
                <c:pt idx="305">
                  <c:v>44305</c:v>
                </c:pt>
                <c:pt idx="306">
                  <c:v>44302</c:v>
                </c:pt>
                <c:pt idx="307">
                  <c:v>44301</c:v>
                </c:pt>
                <c:pt idx="308">
                  <c:v>44300</c:v>
                </c:pt>
                <c:pt idx="309">
                  <c:v>44299</c:v>
                </c:pt>
                <c:pt idx="310">
                  <c:v>44298</c:v>
                </c:pt>
                <c:pt idx="311">
                  <c:v>44295</c:v>
                </c:pt>
                <c:pt idx="312">
                  <c:v>44294</c:v>
                </c:pt>
                <c:pt idx="313">
                  <c:v>44293</c:v>
                </c:pt>
                <c:pt idx="314">
                  <c:v>44292</c:v>
                </c:pt>
                <c:pt idx="315">
                  <c:v>44291</c:v>
                </c:pt>
                <c:pt idx="316">
                  <c:v>44287</c:v>
                </c:pt>
                <c:pt idx="317">
                  <c:v>44286</c:v>
                </c:pt>
                <c:pt idx="318">
                  <c:v>44285</c:v>
                </c:pt>
                <c:pt idx="319">
                  <c:v>44284</c:v>
                </c:pt>
                <c:pt idx="320">
                  <c:v>44281</c:v>
                </c:pt>
                <c:pt idx="321">
                  <c:v>44280</c:v>
                </c:pt>
                <c:pt idx="322">
                  <c:v>44279</c:v>
                </c:pt>
                <c:pt idx="323">
                  <c:v>44278</c:v>
                </c:pt>
                <c:pt idx="324">
                  <c:v>44277</c:v>
                </c:pt>
                <c:pt idx="325">
                  <c:v>44274</c:v>
                </c:pt>
                <c:pt idx="326">
                  <c:v>44273</c:v>
                </c:pt>
                <c:pt idx="327">
                  <c:v>44272</c:v>
                </c:pt>
                <c:pt idx="328">
                  <c:v>44271</c:v>
                </c:pt>
                <c:pt idx="329">
                  <c:v>44270</c:v>
                </c:pt>
                <c:pt idx="330">
                  <c:v>44267</c:v>
                </c:pt>
                <c:pt idx="331">
                  <c:v>44266</c:v>
                </c:pt>
                <c:pt idx="332">
                  <c:v>44265</c:v>
                </c:pt>
                <c:pt idx="333">
                  <c:v>44264</c:v>
                </c:pt>
                <c:pt idx="334">
                  <c:v>44263</c:v>
                </c:pt>
                <c:pt idx="335">
                  <c:v>44260</c:v>
                </c:pt>
                <c:pt idx="336">
                  <c:v>44259</c:v>
                </c:pt>
                <c:pt idx="337">
                  <c:v>44258</c:v>
                </c:pt>
                <c:pt idx="338">
                  <c:v>44257</c:v>
                </c:pt>
                <c:pt idx="339">
                  <c:v>44256</c:v>
                </c:pt>
                <c:pt idx="340">
                  <c:v>44253</c:v>
                </c:pt>
                <c:pt idx="341">
                  <c:v>44252</c:v>
                </c:pt>
                <c:pt idx="342">
                  <c:v>44251</c:v>
                </c:pt>
                <c:pt idx="343">
                  <c:v>44250</c:v>
                </c:pt>
                <c:pt idx="344">
                  <c:v>44249</c:v>
                </c:pt>
                <c:pt idx="345">
                  <c:v>44246</c:v>
                </c:pt>
                <c:pt idx="346">
                  <c:v>44245</c:v>
                </c:pt>
                <c:pt idx="347">
                  <c:v>44244</c:v>
                </c:pt>
                <c:pt idx="348">
                  <c:v>44243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44232</c:v>
                </c:pt>
                <c:pt idx="355">
                  <c:v>44231</c:v>
                </c:pt>
                <c:pt idx="356">
                  <c:v>44230</c:v>
                </c:pt>
                <c:pt idx="357">
                  <c:v>44229</c:v>
                </c:pt>
                <c:pt idx="358">
                  <c:v>44228</c:v>
                </c:pt>
                <c:pt idx="359">
                  <c:v>44225</c:v>
                </c:pt>
                <c:pt idx="360">
                  <c:v>44224</c:v>
                </c:pt>
                <c:pt idx="361">
                  <c:v>44223</c:v>
                </c:pt>
                <c:pt idx="362">
                  <c:v>44222</c:v>
                </c:pt>
                <c:pt idx="363">
                  <c:v>44221</c:v>
                </c:pt>
                <c:pt idx="364">
                  <c:v>44218</c:v>
                </c:pt>
                <c:pt idx="365">
                  <c:v>44217</c:v>
                </c:pt>
                <c:pt idx="366">
                  <c:v>44216</c:v>
                </c:pt>
                <c:pt idx="367">
                  <c:v>44215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44204</c:v>
                </c:pt>
                <c:pt idx="374">
                  <c:v>44203</c:v>
                </c:pt>
                <c:pt idx="375">
                  <c:v>44202</c:v>
                </c:pt>
                <c:pt idx="376">
                  <c:v>44201</c:v>
                </c:pt>
                <c:pt idx="377">
                  <c:v>44200</c:v>
                </c:pt>
                <c:pt idx="378">
                  <c:v>44196</c:v>
                </c:pt>
                <c:pt idx="379">
                  <c:v>44195</c:v>
                </c:pt>
                <c:pt idx="380">
                  <c:v>44194</c:v>
                </c:pt>
                <c:pt idx="381">
                  <c:v>44193</c:v>
                </c:pt>
                <c:pt idx="382">
                  <c:v>44189</c:v>
                </c:pt>
                <c:pt idx="383">
                  <c:v>44188</c:v>
                </c:pt>
                <c:pt idx="384">
                  <c:v>44187</c:v>
                </c:pt>
                <c:pt idx="385">
                  <c:v>44186</c:v>
                </c:pt>
                <c:pt idx="386">
                  <c:v>44183</c:v>
                </c:pt>
                <c:pt idx="387">
                  <c:v>44182</c:v>
                </c:pt>
                <c:pt idx="388">
                  <c:v>44181</c:v>
                </c:pt>
                <c:pt idx="389">
                  <c:v>44180</c:v>
                </c:pt>
                <c:pt idx="390">
                  <c:v>44179</c:v>
                </c:pt>
                <c:pt idx="391">
                  <c:v>44176</c:v>
                </c:pt>
                <c:pt idx="392">
                  <c:v>44175</c:v>
                </c:pt>
                <c:pt idx="393">
                  <c:v>44174</c:v>
                </c:pt>
                <c:pt idx="394">
                  <c:v>44173</c:v>
                </c:pt>
                <c:pt idx="395">
                  <c:v>44172</c:v>
                </c:pt>
                <c:pt idx="396">
                  <c:v>44169</c:v>
                </c:pt>
                <c:pt idx="397">
                  <c:v>44168</c:v>
                </c:pt>
                <c:pt idx="398">
                  <c:v>44167</c:v>
                </c:pt>
                <c:pt idx="399">
                  <c:v>44166</c:v>
                </c:pt>
                <c:pt idx="400">
                  <c:v>44165</c:v>
                </c:pt>
                <c:pt idx="401">
                  <c:v>44162</c:v>
                </c:pt>
                <c:pt idx="402">
                  <c:v>44160</c:v>
                </c:pt>
                <c:pt idx="403">
                  <c:v>44159</c:v>
                </c:pt>
                <c:pt idx="404">
                  <c:v>44158</c:v>
                </c:pt>
                <c:pt idx="405">
                  <c:v>44155</c:v>
                </c:pt>
                <c:pt idx="406">
                  <c:v>44154</c:v>
                </c:pt>
                <c:pt idx="407">
                  <c:v>44153</c:v>
                </c:pt>
                <c:pt idx="408">
                  <c:v>44152</c:v>
                </c:pt>
                <c:pt idx="409">
                  <c:v>44151</c:v>
                </c:pt>
                <c:pt idx="410">
                  <c:v>44148</c:v>
                </c:pt>
                <c:pt idx="411">
                  <c:v>44147</c:v>
                </c:pt>
                <c:pt idx="412">
                  <c:v>44146</c:v>
                </c:pt>
                <c:pt idx="413">
                  <c:v>44145</c:v>
                </c:pt>
                <c:pt idx="414">
                  <c:v>44144</c:v>
                </c:pt>
                <c:pt idx="415">
                  <c:v>44141</c:v>
                </c:pt>
                <c:pt idx="416">
                  <c:v>44140</c:v>
                </c:pt>
                <c:pt idx="417">
                  <c:v>44139</c:v>
                </c:pt>
                <c:pt idx="418">
                  <c:v>44138</c:v>
                </c:pt>
                <c:pt idx="419">
                  <c:v>44137</c:v>
                </c:pt>
                <c:pt idx="420">
                  <c:v>44134</c:v>
                </c:pt>
                <c:pt idx="421">
                  <c:v>44133</c:v>
                </c:pt>
                <c:pt idx="422">
                  <c:v>44132</c:v>
                </c:pt>
                <c:pt idx="423">
                  <c:v>44131</c:v>
                </c:pt>
                <c:pt idx="424">
                  <c:v>44130</c:v>
                </c:pt>
                <c:pt idx="425">
                  <c:v>44127</c:v>
                </c:pt>
                <c:pt idx="426">
                  <c:v>44126</c:v>
                </c:pt>
                <c:pt idx="427">
                  <c:v>44125</c:v>
                </c:pt>
                <c:pt idx="428">
                  <c:v>44124</c:v>
                </c:pt>
                <c:pt idx="429">
                  <c:v>44123</c:v>
                </c:pt>
                <c:pt idx="430">
                  <c:v>44120</c:v>
                </c:pt>
                <c:pt idx="431">
                  <c:v>44119</c:v>
                </c:pt>
                <c:pt idx="432">
                  <c:v>44118</c:v>
                </c:pt>
                <c:pt idx="433">
                  <c:v>44117</c:v>
                </c:pt>
                <c:pt idx="434">
                  <c:v>44116</c:v>
                </c:pt>
                <c:pt idx="435">
                  <c:v>44113</c:v>
                </c:pt>
                <c:pt idx="436">
                  <c:v>44112</c:v>
                </c:pt>
                <c:pt idx="437">
                  <c:v>44111</c:v>
                </c:pt>
                <c:pt idx="438">
                  <c:v>44110</c:v>
                </c:pt>
                <c:pt idx="439">
                  <c:v>44109</c:v>
                </c:pt>
                <c:pt idx="440">
                  <c:v>44106</c:v>
                </c:pt>
                <c:pt idx="441">
                  <c:v>44105</c:v>
                </c:pt>
                <c:pt idx="442">
                  <c:v>44104</c:v>
                </c:pt>
                <c:pt idx="443">
                  <c:v>44103</c:v>
                </c:pt>
                <c:pt idx="444">
                  <c:v>44102</c:v>
                </c:pt>
                <c:pt idx="445">
                  <c:v>44099</c:v>
                </c:pt>
                <c:pt idx="446">
                  <c:v>44098</c:v>
                </c:pt>
                <c:pt idx="447">
                  <c:v>44097</c:v>
                </c:pt>
                <c:pt idx="448">
                  <c:v>44096</c:v>
                </c:pt>
                <c:pt idx="449">
                  <c:v>44095</c:v>
                </c:pt>
                <c:pt idx="450">
                  <c:v>44092</c:v>
                </c:pt>
                <c:pt idx="451">
                  <c:v>44091</c:v>
                </c:pt>
                <c:pt idx="452">
                  <c:v>44090</c:v>
                </c:pt>
                <c:pt idx="453">
                  <c:v>44089</c:v>
                </c:pt>
                <c:pt idx="454">
                  <c:v>44088</c:v>
                </c:pt>
                <c:pt idx="455">
                  <c:v>44085</c:v>
                </c:pt>
                <c:pt idx="456">
                  <c:v>44084</c:v>
                </c:pt>
                <c:pt idx="457">
                  <c:v>44083</c:v>
                </c:pt>
                <c:pt idx="458">
                  <c:v>44082</c:v>
                </c:pt>
                <c:pt idx="459">
                  <c:v>44078</c:v>
                </c:pt>
                <c:pt idx="460">
                  <c:v>44077</c:v>
                </c:pt>
                <c:pt idx="461">
                  <c:v>44076</c:v>
                </c:pt>
                <c:pt idx="462">
                  <c:v>44075</c:v>
                </c:pt>
                <c:pt idx="463">
                  <c:v>44074</c:v>
                </c:pt>
                <c:pt idx="464">
                  <c:v>44071</c:v>
                </c:pt>
                <c:pt idx="465">
                  <c:v>44070</c:v>
                </c:pt>
                <c:pt idx="466">
                  <c:v>44069</c:v>
                </c:pt>
                <c:pt idx="467">
                  <c:v>44068</c:v>
                </c:pt>
                <c:pt idx="468">
                  <c:v>44067</c:v>
                </c:pt>
                <c:pt idx="469">
                  <c:v>44064</c:v>
                </c:pt>
                <c:pt idx="470">
                  <c:v>44063</c:v>
                </c:pt>
                <c:pt idx="471">
                  <c:v>44062</c:v>
                </c:pt>
                <c:pt idx="472">
                  <c:v>44061</c:v>
                </c:pt>
                <c:pt idx="473">
                  <c:v>44060</c:v>
                </c:pt>
                <c:pt idx="474">
                  <c:v>44057</c:v>
                </c:pt>
                <c:pt idx="475">
                  <c:v>44056</c:v>
                </c:pt>
                <c:pt idx="476">
                  <c:v>44055</c:v>
                </c:pt>
                <c:pt idx="477">
                  <c:v>44054</c:v>
                </c:pt>
                <c:pt idx="478">
                  <c:v>44053</c:v>
                </c:pt>
                <c:pt idx="479">
                  <c:v>44050</c:v>
                </c:pt>
                <c:pt idx="480">
                  <c:v>44049</c:v>
                </c:pt>
                <c:pt idx="481">
                  <c:v>44048</c:v>
                </c:pt>
                <c:pt idx="482">
                  <c:v>44047</c:v>
                </c:pt>
                <c:pt idx="483">
                  <c:v>44046</c:v>
                </c:pt>
                <c:pt idx="484">
                  <c:v>44043</c:v>
                </c:pt>
                <c:pt idx="485">
                  <c:v>44042</c:v>
                </c:pt>
                <c:pt idx="486">
                  <c:v>44041</c:v>
                </c:pt>
                <c:pt idx="487">
                  <c:v>44040</c:v>
                </c:pt>
                <c:pt idx="488">
                  <c:v>44039</c:v>
                </c:pt>
                <c:pt idx="489">
                  <c:v>44036</c:v>
                </c:pt>
                <c:pt idx="490">
                  <c:v>44035</c:v>
                </c:pt>
                <c:pt idx="491">
                  <c:v>44034</c:v>
                </c:pt>
                <c:pt idx="492">
                  <c:v>44033</c:v>
                </c:pt>
                <c:pt idx="493">
                  <c:v>44032</c:v>
                </c:pt>
                <c:pt idx="494">
                  <c:v>44029</c:v>
                </c:pt>
                <c:pt idx="495">
                  <c:v>44028</c:v>
                </c:pt>
                <c:pt idx="496">
                  <c:v>44027</c:v>
                </c:pt>
              </c:numCache>
            </c:numRef>
          </c:cat>
          <c:val>
            <c:numRef>
              <c:f>MainSheet!$AP$2:$AP$498</c:f>
              <c:numCache>
                <c:formatCode>_("$"* #,##0.00_);_("$"* \(#,##0.00\);_("$"* "-"??_);_(@_)</c:formatCode>
                <c:ptCount val="497"/>
                <c:pt idx="0">
                  <c:v>3593.7934410000007</c:v>
                </c:pt>
                <c:pt idx="1">
                  <c:v>3561.3201490000001</c:v>
                </c:pt>
                <c:pt idx="2">
                  <c:v>3543.4226180000005</c:v>
                </c:pt>
                <c:pt idx="3">
                  <c:v>3574.4701640000003</c:v>
                </c:pt>
                <c:pt idx="4">
                  <c:v>3576.9312750000004</c:v>
                </c:pt>
                <c:pt idx="5">
                  <c:v>3640.5707760000005</c:v>
                </c:pt>
                <c:pt idx="6">
                  <c:v>3655.6324730000006</c:v>
                </c:pt>
                <c:pt idx="7">
                  <c:v>3581.4100740000003</c:v>
                </c:pt>
                <c:pt idx="8">
                  <c:v>3551.5437510000006</c:v>
                </c:pt>
                <c:pt idx="9">
                  <c:v>3557.5689490000004</c:v>
                </c:pt>
                <c:pt idx="10">
                  <c:v>3505.7255320000004</c:v>
                </c:pt>
                <c:pt idx="11">
                  <c:v>3483.5398020000002</c:v>
                </c:pt>
                <c:pt idx="12">
                  <c:v>3572.0331820000001</c:v>
                </c:pt>
                <c:pt idx="13">
                  <c:v>3525.2945380000006</c:v>
                </c:pt>
                <c:pt idx="14">
                  <c:v>3523.8944210000004</c:v>
                </c:pt>
                <c:pt idx="15">
                  <c:v>3628.3095420000004</c:v>
                </c:pt>
                <c:pt idx="16">
                  <c:v>3709.3765040000003</c:v>
                </c:pt>
                <c:pt idx="17">
                  <c:v>3774.0509740000002</c:v>
                </c:pt>
                <c:pt idx="18">
                  <c:v>3790.7382170000005</c:v>
                </c:pt>
                <c:pt idx="19">
                  <c:v>3767.0009130000003</c:v>
                </c:pt>
                <c:pt idx="20">
                  <c:v>3755.6591360000002</c:v>
                </c:pt>
                <c:pt idx="21">
                  <c:v>3809.0464650000004</c:v>
                </c:pt>
                <c:pt idx="22">
                  <c:v>3745.8878170000003</c:v>
                </c:pt>
                <c:pt idx="23">
                  <c:v>3762.2235630000005</c:v>
                </c:pt>
                <c:pt idx="24">
                  <c:v>3775.0930070000004</c:v>
                </c:pt>
                <c:pt idx="25">
                  <c:v>3703.7898220000002</c:v>
                </c:pt>
                <c:pt idx="26">
                  <c:v>3642.4785400000005</c:v>
                </c:pt>
                <c:pt idx="27">
                  <c:v>3608.5210680000009</c:v>
                </c:pt>
                <c:pt idx="28">
                  <c:v>3663.7139940000002</c:v>
                </c:pt>
                <c:pt idx="29">
                  <c:v>3626.0271170000005</c:v>
                </c:pt>
                <c:pt idx="30">
                  <c:v>3630.7239680000002</c:v>
                </c:pt>
                <c:pt idx="31">
                  <c:v>3633.6311310000001</c:v>
                </c:pt>
                <c:pt idx="32">
                  <c:v>3742.0206360000002</c:v>
                </c:pt>
                <c:pt idx="33">
                  <c:v>3684.3473549999999</c:v>
                </c:pt>
                <c:pt idx="34">
                  <c:v>3709.8393960000003</c:v>
                </c:pt>
                <c:pt idx="35">
                  <c:v>3627.8907130000002</c:v>
                </c:pt>
                <c:pt idx="36">
                  <c:v>3627.4128140000003</c:v>
                </c:pt>
                <c:pt idx="37">
                  <c:v>3692.2058890000003</c:v>
                </c:pt>
                <c:pt idx="38">
                  <c:v>3673.564535</c:v>
                </c:pt>
                <c:pt idx="39">
                  <c:v>3781.7881630000006</c:v>
                </c:pt>
                <c:pt idx="40">
                  <c:v>3812.6013370000005</c:v>
                </c:pt>
                <c:pt idx="41">
                  <c:v>3936.6162620000005</c:v>
                </c:pt>
                <c:pt idx="42">
                  <c:v>3865.1248330000003</c:v>
                </c:pt>
                <c:pt idx="43">
                  <c:v>3861.7924430000003</c:v>
                </c:pt>
                <c:pt idx="44">
                  <c:v>3827.0769550000005</c:v>
                </c:pt>
                <c:pt idx="45">
                  <c:v>3931.5544450000002</c:v>
                </c:pt>
                <c:pt idx="46">
                  <c:v>3851.0461720000003</c:v>
                </c:pt>
                <c:pt idx="47">
                  <c:v>3851.5204190000004</c:v>
                </c:pt>
                <c:pt idx="48">
                  <c:v>3945.3534560000003</c:v>
                </c:pt>
                <c:pt idx="49">
                  <c:v>3917.0766570000005</c:v>
                </c:pt>
                <c:pt idx="50">
                  <c:v>3986.4970450000005</c:v>
                </c:pt>
                <c:pt idx="51">
                  <c:v>4045.4828350000003</c:v>
                </c:pt>
                <c:pt idx="52">
                  <c:v>4077.9031510000004</c:v>
                </c:pt>
                <c:pt idx="53">
                  <c:v>4022.1416890000005</c:v>
                </c:pt>
                <c:pt idx="54">
                  <c:v>4025.0096960000005</c:v>
                </c:pt>
                <c:pt idx="55">
                  <c:v>4076.0529490000004</c:v>
                </c:pt>
                <c:pt idx="56">
                  <c:v>4024.5424149999999</c:v>
                </c:pt>
                <c:pt idx="57">
                  <c:v>4032.4556280000002</c:v>
                </c:pt>
                <c:pt idx="58">
                  <c:v>4088.3166400000005</c:v>
                </c:pt>
                <c:pt idx="59">
                  <c:v>4117.1142360000003</c:v>
                </c:pt>
                <c:pt idx="60">
                  <c:v>4115.306555000001</c:v>
                </c:pt>
                <c:pt idx="61">
                  <c:v>4176.0489820000003</c:v>
                </c:pt>
                <c:pt idx="62">
                  <c:v>4237.1013510000002</c:v>
                </c:pt>
                <c:pt idx="63">
                  <c:v>4184.0690380000005</c:v>
                </c:pt>
                <c:pt idx="64">
                  <c:v>4174.8820050000004</c:v>
                </c:pt>
                <c:pt idx="65">
                  <c:v>4222.7285019999999</c:v>
                </c:pt>
                <c:pt idx="66">
                  <c:v>4257.8310849999998</c:v>
                </c:pt>
                <c:pt idx="67">
                  <c:v>4205.0441070000006</c:v>
                </c:pt>
                <c:pt idx="68">
                  <c:v>4173.2294929999998</c:v>
                </c:pt>
                <c:pt idx="69">
                  <c:v>4177.0382270000009</c:v>
                </c:pt>
                <c:pt idx="70">
                  <c:v>4123.1465150000004</c:v>
                </c:pt>
                <c:pt idx="71">
                  <c:v>4159.9460460000009</c:v>
                </c:pt>
                <c:pt idx="72">
                  <c:v>4111.5619050000005</c:v>
                </c:pt>
                <c:pt idx="73">
                  <c:v>4124.239391000001</c:v>
                </c:pt>
                <c:pt idx="74">
                  <c:v>4068.4559990000007</c:v>
                </c:pt>
                <c:pt idx="75">
                  <c:v>4030.2514310000006</c:v>
                </c:pt>
                <c:pt idx="76">
                  <c:v>3936.1255790000005</c:v>
                </c:pt>
                <c:pt idx="77">
                  <c:v>3865.1249440000001</c:v>
                </c:pt>
                <c:pt idx="78">
                  <c:v>3912.1139460000004</c:v>
                </c:pt>
                <c:pt idx="79">
                  <c:v>3965.2750900000005</c:v>
                </c:pt>
                <c:pt idx="80">
                  <c:v>3984.2939280000005</c:v>
                </c:pt>
                <c:pt idx="81">
                  <c:v>3893.5121850000005</c:v>
                </c:pt>
                <c:pt idx="82">
                  <c:v>3895.0524450000003</c:v>
                </c:pt>
                <c:pt idx="83">
                  <c:v>3995.0456010000007</c:v>
                </c:pt>
                <c:pt idx="84">
                  <c:v>4043.3309740000004</c:v>
                </c:pt>
                <c:pt idx="85">
                  <c:v>4087.6859340000005</c:v>
                </c:pt>
                <c:pt idx="86">
                  <c:v>4043.5700200000001</c:v>
                </c:pt>
                <c:pt idx="87">
                  <c:v>4091.4246780000003</c:v>
                </c:pt>
                <c:pt idx="88">
                  <c:v>4082.3604530000002</c:v>
                </c:pt>
                <c:pt idx="89">
                  <c:v>4035.3972730000005</c:v>
                </c:pt>
                <c:pt idx="90">
                  <c:v>3955.6452660000004</c:v>
                </c:pt>
                <c:pt idx="91">
                  <c:v>4019.0042840000006</c:v>
                </c:pt>
                <c:pt idx="92">
                  <c:v>4054.661932</c:v>
                </c:pt>
                <c:pt idx="93">
                  <c:v>4088.8044180000006</c:v>
                </c:pt>
                <c:pt idx="94">
                  <c:v>4172.3268600000001</c:v>
                </c:pt>
                <c:pt idx="95">
                  <c:v>4178.8158069999999</c:v>
                </c:pt>
                <c:pt idx="96">
                  <c:v>4108.675518</c:v>
                </c:pt>
                <c:pt idx="97">
                  <c:v>4112.5073000000002</c:v>
                </c:pt>
                <c:pt idx="98">
                  <c:v>4191.9950390000004</c:v>
                </c:pt>
                <c:pt idx="99">
                  <c:v>4249.8581470000008</c:v>
                </c:pt>
                <c:pt idx="100">
                  <c:v>4189.3035419999997</c:v>
                </c:pt>
                <c:pt idx="101">
                  <c:v>4154.1785749999999</c:v>
                </c:pt>
                <c:pt idx="102">
                  <c:v>4168.2973110000003</c:v>
                </c:pt>
                <c:pt idx="103">
                  <c:v>4119.3898860000008</c:v>
                </c:pt>
                <c:pt idx="104">
                  <c:v>4230.9012970000003</c:v>
                </c:pt>
                <c:pt idx="105">
                  <c:v>4219.9744460000002</c:v>
                </c:pt>
                <c:pt idx="106">
                  <c:v>4193.0642480000006</c:v>
                </c:pt>
                <c:pt idx="107">
                  <c:v>4101.8991330000008</c:v>
                </c:pt>
                <c:pt idx="108">
                  <c:v>4020.6530240000002</c:v>
                </c:pt>
                <c:pt idx="109">
                  <c:v>4051.7884970000005</c:v>
                </c:pt>
                <c:pt idx="110">
                  <c:v>4055.1466040000005</c:v>
                </c:pt>
                <c:pt idx="111">
                  <c:v>4115.6584889999995</c:v>
                </c:pt>
                <c:pt idx="112">
                  <c:v>4099.0717940000004</c:v>
                </c:pt>
                <c:pt idx="113">
                  <c:v>4175.6317170000002</c:v>
                </c:pt>
                <c:pt idx="114">
                  <c:v>4212.4419600000001</c:v>
                </c:pt>
                <c:pt idx="115">
                  <c:v>4244.1833450000004</c:v>
                </c:pt>
                <c:pt idx="116">
                  <c:v>4318.1461689999996</c:v>
                </c:pt>
                <c:pt idx="117">
                  <c:v>4308.890821</c:v>
                </c:pt>
                <c:pt idx="118">
                  <c:v>4385.1162330000006</c:v>
                </c:pt>
                <c:pt idx="119">
                  <c:v>4379.0872350000009</c:v>
                </c:pt>
                <c:pt idx="120">
                  <c:v>4336.2533640000001</c:v>
                </c:pt>
                <c:pt idx="121">
                  <c:v>4338.9139240000004</c:v>
                </c:pt>
                <c:pt idx="122">
                  <c:v>4366.3250239999998</c:v>
                </c:pt>
                <c:pt idx="123">
                  <c:v>4368.8101600000009</c:v>
                </c:pt>
                <c:pt idx="124">
                  <c:v>4471.3443520000001</c:v>
                </c:pt>
                <c:pt idx="125">
                  <c:v>4506.5527460000003</c:v>
                </c:pt>
                <c:pt idx="126">
                  <c:v>4474.7151720000002</c:v>
                </c:pt>
                <c:pt idx="127">
                  <c:v>4492.4786220000005</c:v>
                </c:pt>
                <c:pt idx="128">
                  <c:v>4495.7740110000004</c:v>
                </c:pt>
                <c:pt idx="129">
                  <c:v>4497.2752799999998</c:v>
                </c:pt>
                <c:pt idx="130">
                  <c:v>4520.3778769999999</c:v>
                </c:pt>
                <c:pt idx="131">
                  <c:v>4478.3903989999999</c:v>
                </c:pt>
                <c:pt idx="132">
                  <c:v>4454.4983650000013</c:v>
                </c:pt>
                <c:pt idx="133">
                  <c:v>4419.8401350000004</c:v>
                </c:pt>
                <c:pt idx="134">
                  <c:v>4270.0208940000002</c:v>
                </c:pt>
                <c:pt idx="135">
                  <c:v>4307.5453590000006</c:v>
                </c:pt>
                <c:pt idx="136">
                  <c:v>4319.7176400000008</c:v>
                </c:pt>
                <c:pt idx="137">
                  <c:v>4390.8149200000007</c:v>
                </c:pt>
                <c:pt idx="138">
                  <c:v>4332.4452400000009</c:v>
                </c:pt>
                <c:pt idx="139">
                  <c:v>4366.0566440000002</c:v>
                </c:pt>
                <c:pt idx="140">
                  <c:v>4412.5747110000002</c:v>
                </c:pt>
                <c:pt idx="141">
                  <c:v>4396.0148330000002</c:v>
                </c:pt>
                <c:pt idx="142">
                  <c:v>4441.2238080000006</c:v>
                </c:pt>
                <c:pt idx="143">
                  <c:v>4420.9258589999999</c:v>
                </c:pt>
                <c:pt idx="144">
                  <c:v>4332.7746070000003</c:v>
                </c:pt>
                <c:pt idx="145">
                  <c:v>4302.2671420000006</c:v>
                </c:pt>
                <c:pt idx="146">
                  <c:v>4335.9622739999995</c:v>
                </c:pt>
                <c:pt idx="147">
                  <c:v>4305.0603549999996</c:v>
                </c:pt>
                <c:pt idx="148">
                  <c:v>4364.3557799999999</c:v>
                </c:pt>
                <c:pt idx="149">
                  <c:v>4418.3944920000004</c:v>
                </c:pt>
                <c:pt idx="150">
                  <c:v>4366.6910640000006</c:v>
                </c:pt>
                <c:pt idx="151">
                  <c:v>4434.6180050000003</c:v>
                </c:pt>
                <c:pt idx="152">
                  <c:v>4419.4816410000003</c:v>
                </c:pt>
                <c:pt idx="153">
                  <c:v>4432.811342</c:v>
                </c:pt>
                <c:pt idx="154">
                  <c:v>4474.5764240000008</c:v>
                </c:pt>
                <c:pt idx="155">
                  <c:v>4469.6500379999998</c:v>
                </c:pt>
                <c:pt idx="156">
                  <c:v>4449.3452180000004</c:v>
                </c:pt>
                <c:pt idx="157">
                  <c:v>4464.5930819999994</c:v>
                </c:pt>
                <c:pt idx="158">
                  <c:v>4441.1765190000006</c:v>
                </c:pt>
                <c:pt idx="159">
                  <c:v>4442.4567100000004</c:v>
                </c:pt>
                <c:pt idx="160">
                  <c:v>4408.14858</c:v>
                </c:pt>
                <c:pt idx="161">
                  <c:v>4393.0189420000006</c:v>
                </c:pt>
                <c:pt idx="162">
                  <c:v>4442.4837790000001</c:v>
                </c:pt>
                <c:pt idx="163">
                  <c:v>4455.2771279999997</c:v>
                </c:pt>
                <c:pt idx="164">
                  <c:v>4451.2383709999995</c:v>
                </c:pt>
                <c:pt idx="165">
                  <c:v>4443.5489710000002</c:v>
                </c:pt>
                <c:pt idx="166">
                  <c:v>4416.1730019999995</c:v>
                </c:pt>
                <c:pt idx="167">
                  <c:v>4385.6572590000005</c:v>
                </c:pt>
                <c:pt idx="168">
                  <c:v>4378.2032230000004</c:v>
                </c:pt>
                <c:pt idx="169">
                  <c:v>4365.397293</c:v>
                </c:pt>
                <c:pt idx="170">
                  <c:v>4355.3599860000004</c:v>
                </c:pt>
                <c:pt idx="171">
                  <c:v>4318.9052810000003</c:v>
                </c:pt>
                <c:pt idx="172">
                  <c:v>4323.9951340000007</c:v>
                </c:pt>
                <c:pt idx="173">
                  <c:v>4318.544922000001</c:v>
                </c:pt>
                <c:pt idx="174">
                  <c:v>4297.0958300000002</c:v>
                </c:pt>
                <c:pt idx="175">
                  <c:v>4324.2724020000005</c:v>
                </c:pt>
                <c:pt idx="176">
                  <c:v>4305.7487880000008</c:v>
                </c:pt>
                <c:pt idx="177">
                  <c:v>4308.4048340000008</c:v>
                </c:pt>
                <c:pt idx="178">
                  <c:v>4288.7024700000002</c:v>
                </c:pt>
                <c:pt idx="179">
                  <c:v>4264.6544300000005</c:v>
                </c:pt>
                <c:pt idx="180">
                  <c:v>4246.743797000001</c:v>
                </c:pt>
                <c:pt idx="181">
                  <c:v>4200.2420739999998</c:v>
                </c:pt>
                <c:pt idx="182">
                  <c:v>4179.5956249999999</c:v>
                </c:pt>
                <c:pt idx="183">
                  <c:v>4178.5346719999998</c:v>
                </c:pt>
                <c:pt idx="184">
                  <c:v>4199.7841090000002</c:v>
                </c:pt>
                <c:pt idx="185">
                  <c:v>4211.0484859999997</c:v>
                </c:pt>
                <c:pt idx="186">
                  <c:v>4178.8301229999997</c:v>
                </c:pt>
                <c:pt idx="187">
                  <c:v>4161.8811910000004</c:v>
                </c:pt>
                <c:pt idx="188">
                  <c:v>4127.526382</c:v>
                </c:pt>
                <c:pt idx="189">
                  <c:v>4175.6255720000008</c:v>
                </c:pt>
                <c:pt idx="190">
                  <c:v>4150.1167600000008</c:v>
                </c:pt>
                <c:pt idx="191">
                  <c:v>4166.0282139999999</c:v>
                </c:pt>
                <c:pt idx="192">
                  <c:v>4173.1823430000004</c:v>
                </c:pt>
                <c:pt idx="193">
                  <c:v>4249.4266900000002</c:v>
                </c:pt>
                <c:pt idx="194">
                  <c:v>4263.2209320000002</c:v>
                </c:pt>
                <c:pt idx="195">
                  <c:v>4262.8649620000006</c:v>
                </c:pt>
                <c:pt idx="196">
                  <c:v>4230.4922400000005</c:v>
                </c:pt>
                <c:pt idx="197">
                  <c:v>4201.9864480000006</c:v>
                </c:pt>
                <c:pt idx="198">
                  <c:v>4192.6310830000002</c:v>
                </c:pt>
                <c:pt idx="199">
                  <c:v>4249.9250609999999</c:v>
                </c:pt>
                <c:pt idx="200">
                  <c:v>4275.4007899999997</c:v>
                </c:pt>
                <c:pt idx="201">
                  <c:v>4269.1322099999998</c:v>
                </c:pt>
                <c:pt idx="202">
                  <c:v>4247.4521990000003</c:v>
                </c:pt>
                <c:pt idx="203">
                  <c:v>4258.0643670000009</c:v>
                </c:pt>
                <c:pt idx="204">
                  <c:v>4260.5583450000004</c:v>
                </c:pt>
                <c:pt idx="205">
                  <c:v>4277.054035000001</c:v>
                </c:pt>
                <c:pt idx="206">
                  <c:v>4281.7285030000003</c:v>
                </c:pt>
                <c:pt idx="207">
                  <c:v>4300.6317589999999</c:v>
                </c:pt>
                <c:pt idx="208">
                  <c:v>4297.8537990000004</c:v>
                </c:pt>
                <c:pt idx="209">
                  <c:v>4290.2712480000009</c:v>
                </c:pt>
                <c:pt idx="210">
                  <c:v>4288.625661</c:v>
                </c:pt>
                <c:pt idx="211">
                  <c:v>4279.1817289999999</c:v>
                </c:pt>
                <c:pt idx="212">
                  <c:v>4284.6589139999996</c:v>
                </c:pt>
                <c:pt idx="213">
                  <c:v>4262.7682199999999</c:v>
                </c:pt>
                <c:pt idx="214">
                  <c:v>4234.0477890000002</c:v>
                </c:pt>
                <c:pt idx="215">
                  <c:v>4251.4694180000006</c:v>
                </c:pt>
                <c:pt idx="216">
                  <c:v>4243.4303060000002</c:v>
                </c:pt>
                <c:pt idx="217">
                  <c:v>4227.8637560000006</c:v>
                </c:pt>
                <c:pt idx="218">
                  <c:v>4188.7685120000006</c:v>
                </c:pt>
                <c:pt idx="219">
                  <c:v>4158.5019900000007</c:v>
                </c:pt>
                <c:pt idx="220">
                  <c:v>4157.1193829999993</c:v>
                </c:pt>
                <c:pt idx="221">
                  <c:v>4177.756351</c:v>
                </c:pt>
                <c:pt idx="222">
                  <c:v>4206.573128</c:v>
                </c:pt>
                <c:pt idx="223">
                  <c:v>4213.2197400000005</c:v>
                </c:pt>
                <c:pt idx="224">
                  <c:v>4211.7154960000007</c:v>
                </c:pt>
                <c:pt idx="225">
                  <c:v>4200.3032870000006</c:v>
                </c:pt>
                <c:pt idx="226">
                  <c:v>4202.3014210000001</c:v>
                </c:pt>
                <c:pt idx="227">
                  <c:v>4209.9090809999998</c:v>
                </c:pt>
                <c:pt idx="228">
                  <c:v>4206.6970290000008</c:v>
                </c:pt>
                <c:pt idx="229">
                  <c:v>4214.6046110000007</c:v>
                </c:pt>
                <c:pt idx="230">
                  <c:v>4191.0691770000003</c:v>
                </c:pt>
                <c:pt idx="231">
                  <c:v>4191.4533140000003</c:v>
                </c:pt>
                <c:pt idx="232">
                  <c:v>4175.366188</c:v>
                </c:pt>
                <c:pt idx="233">
                  <c:v>4174.1016280000003</c:v>
                </c:pt>
                <c:pt idx="234">
                  <c:v>4195.8528270000006</c:v>
                </c:pt>
                <c:pt idx="235">
                  <c:v>4190.5983420000002</c:v>
                </c:pt>
                <c:pt idx="236">
                  <c:v>4173.7511290000002</c:v>
                </c:pt>
                <c:pt idx="237">
                  <c:v>4173.7511290000002</c:v>
                </c:pt>
                <c:pt idx="238">
                  <c:v>4173.7511290000002</c:v>
                </c:pt>
                <c:pt idx="239">
                  <c:v>4172.7163600000003</c:v>
                </c:pt>
                <c:pt idx="240">
                  <c:v>4172.7163600000003</c:v>
                </c:pt>
                <c:pt idx="241">
                  <c:v>4172.7163600000003</c:v>
                </c:pt>
                <c:pt idx="242">
                  <c:v>4035.1066250000003</c:v>
                </c:pt>
                <c:pt idx="243">
                  <c:v>4059.3748040000005</c:v>
                </c:pt>
                <c:pt idx="244">
                  <c:v>4055.6306320000003</c:v>
                </c:pt>
                <c:pt idx="245">
                  <c:v>4069.8464070000005</c:v>
                </c:pt>
                <c:pt idx="246">
                  <c:v>4076.0764590000003</c:v>
                </c:pt>
                <c:pt idx="247">
                  <c:v>4083.2908720000005</c:v>
                </c:pt>
                <c:pt idx="248">
                  <c:v>4079.3672610000003</c:v>
                </c:pt>
                <c:pt idx="249">
                  <c:v>4059.8935490000003</c:v>
                </c:pt>
                <c:pt idx="250">
                  <c:v>4006.6161310000002</c:v>
                </c:pt>
                <c:pt idx="251">
                  <c:v>4009.2247430000002</c:v>
                </c:pt>
                <c:pt idx="252">
                  <c:v>4006.9944600000003</c:v>
                </c:pt>
                <c:pt idx="253">
                  <c:v>3994.9674460000006</c:v>
                </c:pt>
                <c:pt idx="254">
                  <c:v>3991.9948540000005</c:v>
                </c:pt>
                <c:pt idx="255">
                  <c:v>3994.2183520000003</c:v>
                </c:pt>
                <c:pt idx="256">
                  <c:v>3991.2870130000001</c:v>
                </c:pt>
                <c:pt idx="257">
                  <c:v>3980.5755450000006</c:v>
                </c:pt>
                <c:pt idx="258">
                  <c:v>3980.4650180000003</c:v>
                </c:pt>
                <c:pt idx="259">
                  <c:v>3971.1451880000004</c:v>
                </c:pt>
                <c:pt idx="260">
                  <c:v>3967.0478880000001</c:v>
                </c:pt>
                <c:pt idx="261">
                  <c:v>3955.0410600000005</c:v>
                </c:pt>
                <c:pt idx="262">
                  <c:v>3942.7403880000002</c:v>
                </c:pt>
                <c:pt idx="263">
                  <c:v>3953.8367180000005</c:v>
                </c:pt>
                <c:pt idx="264">
                  <c:v>3942.1647660000003</c:v>
                </c:pt>
                <c:pt idx="265">
                  <c:v>3945.6654710000003</c:v>
                </c:pt>
                <c:pt idx="266">
                  <c:v>3955.5572460000003</c:v>
                </c:pt>
                <c:pt idx="267">
                  <c:v>3945.4586100000001</c:v>
                </c:pt>
                <c:pt idx="268">
                  <c:v>3938.6259730000002</c:v>
                </c:pt>
                <c:pt idx="269">
                  <c:v>3928.1189519999998</c:v>
                </c:pt>
                <c:pt idx="270">
                  <c:v>3931.5603010000004</c:v>
                </c:pt>
                <c:pt idx="271">
                  <c:v>3928.8472570000004</c:v>
                </c:pt>
                <c:pt idx="272">
                  <c:v>3923.0127780000003</c:v>
                </c:pt>
                <c:pt idx="273">
                  <c:v>3904.6260930000003</c:v>
                </c:pt>
                <c:pt idx="274">
                  <c:v>3918.1337390000003</c:v>
                </c:pt>
                <c:pt idx="275">
                  <c:v>3917.4083140000002</c:v>
                </c:pt>
                <c:pt idx="276">
                  <c:v>3917.1564390000003</c:v>
                </c:pt>
                <c:pt idx="277">
                  <c:v>3914.9771229999997</c:v>
                </c:pt>
                <c:pt idx="278">
                  <c:v>3914.0183349999998</c:v>
                </c:pt>
                <c:pt idx="279">
                  <c:v>3906.0425329999998</c:v>
                </c:pt>
                <c:pt idx="280">
                  <c:v>3904.5150269999999</c:v>
                </c:pt>
                <c:pt idx="281">
                  <c:v>3884.4710180000002</c:v>
                </c:pt>
                <c:pt idx="282">
                  <c:v>3889.4452099999999</c:v>
                </c:pt>
                <c:pt idx="283">
                  <c:v>3868.4540710000001</c:v>
                </c:pt>
                <c:pt idx="284">
                  <c:v>3869.2677960000001</c:v>
                </c:pt>
                <c:pt idx="285">
                  <c:v>3876.0943549999997</c:v>
                </c:pt>
                <c:pt idx="286">
                  <c:v>3863.1637819999996</c:v>
                </c:pt>
                <c:pt idx="287">
                  <c:v>3806.1195019999996</c:v>
                </c:pt>
                <c:pt idx="288">
                  <c:v>3793.0841019999998</c:v>
                </c:pt>
                <c:pt idx="289">
                  <c:v>3861.1174339999998</c:v>
                </c:pt>
                <c:pt idx="290">
                  <c:v>3864.4502109999994</c:v>
                </c:pt>
                <c:pt idx="291">
                  <c:v>3924.9012569999995</c:v>
                </c:pt>
                <c:pt idx="292">
                  <c:v>3902.9015330000002</c:v>
                </c:pt>
                <c:pt idx="293">
                  <c:v>3900.7507500000002</c:v>
                </c:pt>
                <c:pt idx="294">
                  <c:v>3908.7788349999992</c:v>
                </c:pt>
                <c:pt idx="295">
                  <c:v>3951.8565609999996</c:v>
                </c:pt>
                <c:pt idx="296">
                  <c:v>3962.4366280000004</c:v>
                </c:pt>
                <c:pt idx="297">
                  <c:v>3989.3122729999995</c:v>
                </c:pt>
                <c:pt idx="298">
                  <c:v>3988.2106979999999</c:v>
                </c:pt>
                <c:pt idx="299">
                  <c:v>3988.9973169999994</c:v>
                </c:pt>
                <c:pt idx="300">
                  <c:v>3992.8672559999995</c:v>
                </c:pt>
                <c:pt idx="301">
                  <c:v>3972.6397309999998</c:v>
                </c:pt>
                <c:pt idx="302">
                  <c:v>3934.0305719999997</c:v>
                </c:pt>
                <c:pt idx="303">
                  <c:v>3955.6698940000001</c:v>
                </c:pt>
                <c:pt idx="304">
                  <c:v>3926.4658969999996</c:v>
                </c:pt>
                <c:pt idx="305">
                  <c:v>3779.4810429999998</c:v>
                </c:pt>
                <c:pt idx="306">
                  <c:v>3794.2950649999993</c:v>
                </c:pt>
                <c:pt idx="307">
                  <c:v>3794.2211809999999</c:v>
                </c:pt>
                <c:pt idx="308">
                  <c:v>3774.6853110000002</c:v>
                </c:pt>
                <c:pt idx="309">
                  <c:v>3788.5746419999996</c:v>
                </c:pt>
                <c:pt idx="310">
                  <c:v>3775.3964269999997</c:v>
                </c:pt>
                <c:pt idx="311">
                  <c:v>3778.8936379999996</c:v>
                </c:pt>
                <c:pt idx="312">
                  <c:v>3770.9323629999999</c:v>
                </c:pt>
                <c:pt idx="313">
                  <c:v>3756.2679869999997</c:v>
                </c:pt>
                <c:pt idx="314">
                  <c:v>3756.5644269999998</c:v>
                </c:pt>
                <c:pt idx="315">
                  <c:v>3755.1462919999994</c:v>
                </c:pt>
                <c:pt idx="316">
                  <c:v>3732.8358199999998</c:v>
                </c:pt>
                <c:pt idx="317">
                  <c:v>3708.7776439999998</c:v>
                </c:pt>
                <c:pt idx="318">
                  <c:v>3689.6203260000002</c:v>
                </c:pt>
                <c:pt idx="319">
                  <c:v>3688.8720519999997</c:v>
                </c:pt>
                <c:pt idx="320">
                  <c:v>3697.2302359999999</c:v>
                </c:pt>
                <c:pt idx="321">
                  <c:v>2040.3593419999997</c:v>
                </c:pt>
                <c:pt idx="322">
                  <c:v>2037.7635269999996</c:v>
                </c:pt>
                <c:pt idx="323">
                  <c:v>2064.2845929999999</c:v>
                </c:pt>
                <c:pt idx="324">
                  <c:v>2079.7699529999995</c:v>
                </c:pt>
                <c:pt idx="325">
                  <c:v>2066.0845180000001</c:v>
                </c:pt>
                <c:pt idx="326">
                  <c:v>2055.4689079999998</c:v>
                </c:pt>
                <c:pt idx="327">
                  <c:v>2096.420873</c:v>
                </c:pt>
                <c:pt idx="328">
                  <c:v>2090.6161269999998</c:v>
                </c:pt>
                <c:pt idx="329">
                  <c:v>2091.8033749999995</c:v>
                </c:pt>
                <c:pt idx="330">
                  <c:v>2077.2964710000001</c:v>
                </c:pt>
                <c:pt idx="331">
                  <c:v>2084.2493479999998</c:v>
                </c:pt>
                <c:pt idx="332">
                  <c:v>2049.445831</c:v>
                </c:pt>
                <c:pt idx="333">
                  <c:v>2050.6220029999999</c:v>
                </c:pt>
                <c:pt idx="334">
                  <c:v>2005.681763</c:v>
                </c:pt>
                <c:pt idx="335">
                  <c:v>2037.0481110000001</c:v>
                </c:pt>
                <c:pt idx="336">
                  <c:v>2016.982767</c:v>
                </c:pt>
                <c:pt idx="337">
                  <c:v>2046.5576409999999</c:v>
                </c:pt>
                <c:pt idx="338">
                  <c:v>2081.518924</c:v>
                </c:pt>
                <c:pt idx="339">
                  <c:v>2103.2825609999995</c:v>
                </c:pt>
                <c:pt idx="340">
                  <c:v>2063.6247719999997</c:v>
                </c:pt>
                <c:pt idx="341">
                  <c:v>2056.263445</c:v>
                </c:pt>
                <c:pt idx="342">
                  <c:v>2106.0706</c:v>
                </c:pt>
                <c:pt idx="343">
                  <c:v>2093.5160219999998</c:v>
                </c:pt>
                <c:pt idx="344">
                  <c:v>2098.7006719999999</c:v>
                </c:pt>
                <c:pt idx="345">
                  <c:v>2132.9272649999998</c:v>
                </c:pt>
                <c:pt idx="346">
                  <c:v>2130.6353650000001</c:v>
                </c:pt>
                <c:pt idx="347">
                  <c:v>2140.8043969999999</c:v>
                </c:pt>
                <c:pt idx="348">
                  <c:v>2148.6423989999998</c:v>
                </c:pt>
                <c:pt idx="349">
                  <c:v>2152.3066749999998</c:v>
                </c:pt>
                <c:pt idx="350">
                  <c:v>2145.2179189999997</c:v>
                </c:pt>
                <c:pt idx="351">
                  <c:v>2138.6125779999998</c:v>
                </c:pt>
                <c:pt idx="352">
                  <c:v>2138.4336579999999</c:v>
                </c:pt>
                <c:pt idx="353">
                  <c:v>2137.4864549999998</c:v>
                </c:pt>
                <c:pt idx="354">
                  <c:v>2124.6482799999999</c:v>
                </c:pt>
                <c:pt idx="355">
                  <c:v>2115.1092519999997</c:v>
                </c:pt>
                <c:pt idx="356">
                  <c:v>2097.8579389999995</c:v>
                </c:pt>
                <c:pt idx="357">
                  <c:v>2096.1929749999999</c:v>
                </c:pt>
                <c:pt idx="358">
                  <c:v>2072.8417410000002</c:v>
                </c:pt>
                <c:pt idx="359">
                  <c:v>2039.8375889999998</c:v>
                </c:pt>
                <c:pt idx="360">
                  <c:v>2066.435919</c:v>
                </c:pt>
                <c:pt idx="361">
                  <c:v>2055.6872089999997</c:v>
                </c:pt>
                <c:pt idx="362">
                  <c:v>2095.0197009999997</c:v>
                </c:pt>
                <c:pt idx="363">
                  <c:v>2099.9861249999999</c:v>
                </c:pt>
                <c:pt idx="364">
                  <c:v>2092.7912779999997</c:v>
                </c:pt>
                <c:pt idx="365">
                  <c:v>2092.5219699999998</c:v>
                </c:pt>
                <c:pt idx="366">
                  <c:v>2085.388852</c:v>
                </c:pt>
                <c:pt idx="367">
                  <c:v>2059.0260210000001</c:v>
                </c:pt>
                <c:pt idx="368">
                  <c:v>2039.45352</c:v>
                </c:pt>
                <c:pt idx="369">
                  <c:v>2050.983671</c:v>
                </c:pt>
                <c:pt idx="370">
                  <c:v>2054.4251189999995</c:v>
                </c:pt>
                <c:pt idx="371">
                  <c:v>2048.8899110000002</c:v>
                </c:pt>
                <c:pt idx="372">
                  <c:v>2043.7902629999999</c:v>
                </c:pt>
                <c:pt idx="373">
                  <c:v>2059.1888939999999</c:v>
                </c:pt>
                <c:pt idx="374">
                  <c:v>2046.8513749999997</c:v>
                </c:pt>
                <c:pt idx="375">
                  <c:v>2013.672904</c:v>
                </c:pt>
                <c:pt idx="376">
                  <c:v>2022.748634</c:v>
                </c:pt>
                <c:pt idx="377">
                  <c:v>2007.7365589999995</c:v>
                </c:pt>
                <c:pt idx="378">
                  <c:v>2027.3580179999994</c:v>
                </c:pt>
                <c:pt idx="379">
                  <c:v>2026.9466349999998</c:v>
                </c:pt>
                <c:pt idx="380">
                  <c:v>2023.9661879999999</c:v>
                </c:pt>
                <c:pt idx="381">
                  <c:v>2025.698398</c:v>
                </c:pt>
                <c:pt idx="382">
                  <c:v>2017.2363959999998</c:v>
                </c:pt>
                <c:pt idx="383">
                  <c:v>2014.5596189999997</c:v>
                </c:pt>
                <c:pt idx="384">
                  <c:v>2019.4293499999999</c:v>
                </c:pt>
                <c:pt idx="385">
                  <c:v>2012.0308939999995</c:v>
                </c:pt>
                <c:pt idx="386">
                  <c:v>2013.1247789999998</c:v>
                </c:pt>
                <c:pt idx="387">
                  <c:v>2007.5621960000001</c:v>
                </c:pt>
                <c:pt idx="388">
                  <c:v>1996.1640299999999</c:v>
                </c:pt>
                <c:pt idx="389">
                  <c:v>1989.497599</c:v>
                </c:pt>
                <c:pt idx="390">
                  <c:v>1973.7573869999999</c:v>
                </c:pt>
                <c:pt idx="391">
                  <c:v>1968.9970499999999</c:v>
                </c:pt>
                <c:pt idx="392">
                  <c:v>1973.5142239999998</c:v>
                </c:pt>
                <c:pt idx="393">
                  <c:v>1966.0588189999999</c:v>
                </c:pt>
                <c:pt idx="394">
                  <c:v>1988.7395979999999</c:v>
                </c:pt>
                <c:pt idx="395">
                  <c:v>1982.7610980000002</c:v>
                </c:pt>
                <c:pt idx="396">
                  <c:v>1977.301786</c:v>
                </c:pt>
                <c:pt idx="397">
                  <c:v>1968.481168</c:v>
                </c:pt>
                <c:pt idx="398">
                  <c:v>1965.5613090000002</c:v>
                </c:pt>
                <c:pt idx="399">
                  <c:v>1965.729249</c:v>
                </c:pt>
                <c:pt idx="400">
                  <c:v>1950.9143949999998</c:v>
                </c:pt>
                <c:pt idx="401">
                  <c:v>1953.1792189999999</c:v>
                </c:pt>
                <c:pt idx="402">
                  <c:v>1942.7745870000001</c:v>
                </c:pt>
                <c:pt idx="403">
                  <c:v>1937.2623339999998</c:v>
                </c:pt>
                <c:pt idx="404">
                  <c:v>1922.187011</c:v>
                </c:pt>
                <c:pt idx="405">
                  <c:v>1916.737621</c:v>
                </c:pt>
                <c:pt idx="406">
                  <c:v>1922.6637760000001</c:v>
                </c:pt>
                <c:pt idx="407">
                  <c:v>1911.7731859999999</c:v>
                </c:pt>
                <c:pt idx="408">
                  <c:v>1920.2917969999999</c:v>
                </c:pt>
                <c:pt idx="409">
                  <c:v>1921.9264599999999</c:v>
                </c:pt>
                <c:pt idx="410">
                  <c:v>1912.3541139999998</c:v>
                </c:pt>
                <c:pt idx="411">
                  <c:v>1900.3120399999998</c:v>
                </c:pt>
                <c:pt idx="412">
                  <c:v>1857.6213699999998</c:v>
                </c:pt>
                <c:pt idx="413">
                  <c:v>1852.9136549999998</c:v>
                </c:pt>
                <c:pt idx="414">
                  <c:v>1856.3861120000001</c:v>
                </c:pt>
                <c:pt idx="415">
                  <c:v>1859.2997499999999</c:v>
                </c:pt>
                <c:pt idx="416">
                  <c:v>1858.6149459999999</c:v>
                </c:pt>
                <c:pt idx="417">
                  <c:v>1851.5552519999999</c:v>
                </c:pt>
                <c:pt idx="418">
                  <c:v>1841.8241499999999</c:v>
                </c:pt>
                <c:pt idx="419">
                  <c:v>1850.817755</c:v>
                </c:pt>
                <c:pt idx="420">
                  <c:v>1847.8755650000001</c:v>
                </c:pt>
                <c:pt idx="421">
                  <c:v>1873.2355950000001</c:v>
                </c:pt>
                <c:pt idx="422">
                  <c:v>1856.2168369999999</c:v>
                </c:pt>
                <c:pt idx="423">
                  <c:v>1897.2505100000001</c:v>
                </c:pt>
                <c:pt idx="424">
                  <c:v>1890.3093939999999</c:v>
                </c:pt>
                <c:pt idx="425">
                  <c:v>1909.199155</c:v>
                </c:pt>
                <c:pt idx="426">
                  <c:v>1903.4472699999999</c:v>
                </c:pt>
                <c:pt idx="427">
                  <c:v>1901.6446329999999</c:v>
                </c:pt>
                <c:pt idx="428">
                  <c:v>1903.198476</c:v>
                </c:pt>
                <c:pt idx="429">
                  <c:v>1898.84862</c:v>
                </c:pt>
                <c:pt idx="430">
                  <c:v>1917.5105269999999</c:v>
                </c:pt>
                <c:pt idx="431">
                  <c:v>1921.214207</c:v>
                </c:pt>
                <c:pt idx="432">
                  <c:v>1927.5322999999999</c:v>
                </c:pt>
                <c:pt idx="433">
                  <c:v>1935.881116</c:v>
                </c:pt>
                <c:pt idx="434">
                  <c:v>1937.3028039999999</c:v>
                </c:pt>
                <c:pt idx="435">
                  <c:v>1911.888921</c:v>
                </c:pt>
                <c:pt idx="436">
                  <c:v>1896.8489939999999</c:v>
                </c:pt>
                <c:pt idx="437">
                  <c:v>1891.2354210000001</c:v>
                </c:pt>
                <c:pt idx="438">
                  <c:v>1872.2190460000002</c:v>
                </c:pt>
                <c:pt idx="439">
                  <c:v>1889.745101</c:v>
                </c:pt>
                <c:pt idx="440">
                  <c:v>1867.2625660000001</c:v>
                </c:pt>
                <c:pt idx="441">
                  <c:v>1890.4660120000001</c:v>
                </c:pt>
                <c:pt idx="442">
                  <c:v>1875.4828110000001</c:v>
                </c:pt>
                <c:pt idx="443">
                  <c:v>1867.6292450000001</c:v>
                </c:pt>
                <c:pt idx="444">
                  <c:v>1870.0242520000002</c:v>
                </c:pt>
                <c:pt idx="445">
                  <c:v>1851.948682</c:v>
                </c:pt>
                <c:pt idx="446">
                  <c:v>1830.3514399999999</c:v>
                </c:pt>
                <c:pt idx="447">
                  <c:v>1827.5178799999999</c:v>
                </c:pt>
                <c:pt idx="448">
                  <c:v>1857.4570780000001</c:v>
                </c:pt>
                <c:pt idx="449">
                  <c:v>1841.297883</c:v>
                </c:pt>
                <c:pt idx="450">
                  <c:v>1843.811569</c:v>
                </c:pt>
                <c:pt idx="451">
                  <c:v>1855.2936999999999</c:v>
                </c:pt>
                <c:pt idx="452">
                  <c:v>1868.9910399999999</c:v>
                </c:pt>
                <c:pt idx="453">
                  <c:v>1882.25323</c:v>
                </c:pt>
                <c:pt idx="454">
                  <c:v>1869.4106999999999</c:v>
                </c:pt>
                <c:pt idx="455">
                  <c:v>1850.98397</c:v>
                </c:pt>
                <c:pt idx="456">
                  <c:v>1853.3810699999999</c:v>
                </c:pt>
                <c:pt idx="457">
                  <c:v>1873.2006700000002</c:v>
                </c:pt>
                <c:pt idx="458">
                  <c:v>1844.69543</c:v>
                </c:pt>
                <c:pt idx="459">
                  <c:v>1888.6030900000001</c:v>
                </c:pt>
                <c:pt idx="460">
                  <c:v>1903.0085799999999</c:v>
                </c:pt>
                <c:pt idx="461">
                  <c:v>1958.3898099999999</c:v>
                </c:pt>
                <c:pt idx="462">
                  <c:v>1946.1063200000001</c:v>
                </c:pt>
                <c:pt idx="463">
                  <c:v>1931.1800599999999</c:v>
                </c:pt>
                <c:pt idx="464">
                  <c:v>1925.4687999999999</c:v>
                </c:pt>
                <c:pt idx="465">
                  <c:v>1918.1391100000001</c:v>
                </c:pt>
                <c:pt idx="466">
                  <c:v>1921.3608999999999</c:v>
                </c:pt>
                <c:pt idx="467">
                  <c:v>1900.7254899999998</c:v>
                </c:pt>
                <c:pt idx="468">
                  <c:v>1891.8247999999999</c:v>
                </c:pt>
                <c:pt idx="469">
                  <c:v>1883.25143</c:v>
                </c:pt>
                <c:pt idx="470">
                  <c:v>1877.47468</c:v>
                </c:pt>
                <c:pt idx="471">
                  <c:v>1865.9334299999998</c:v>
                </c:pt>
                <c:pt idx="472">
                  <c:v>1871.1131</c:v>
                </c:pt>
                <c:pt idx="473">
                  <c:v>1862.7223999999999</c:v>
                </c:pt>
                <c:pt idx="474">
                  <c:v>1852.4694399999998</c:v>
                </c:pt>
                <c:pt idx="475">
                  <c:v>1854.7172699999999</c:v>
                </c:pt>
                <c:pt idx="476">
                  <c:v>1851.3552099999999</c:v>
                </c:pt>
                <c:pt idx="477">
                  <c:v>1829.1934899999999</c:v>
                </c:pt>
                <c:pt idx="478">
                  <c:v>1844.69372</c:v>
                </c:pt>
                <c:pt idx="479">
                  <c:v>1849.07936</c:v>
                </c:pt>
                <c:pt idx="480">
                  <c:v>1858.29297</c:v>
                </c:pt>
                <c:pt idx="481">
                  <c:v>1847.4501899999998</c:v>
                </c:pt>
                <c:pt idx="482">
                  <c:v>1840.7211</c:v>
                </c:pt>
                <c:pt idx="483">
                  <c:v>1837.2490399999999</c:v>
                </c:pt>
                <c:pt idx="484">
                  <c:v>1823.8793799999999</c:v>
                </c:pt>
                <c:pt idx="485">
                  <c:v>1809.88247</c:v>
                </c:pt>
                <c:pt idx="486">
                  <c:v>1806.50603</c:v>
                </c:pt>
                <c:pt idx="487">
                  <c:v>1793.5773299999998</c:v>
                </c:pt>
                <c:pt idx="488">
                  <c:v>1805.9536599999999</c:v>
                </c:pt>
                <c:pt idx="489">
                  <c:v>1790.6950899999997</c:v>
                </c:pt>
                <c:pt idx="490">
                  <c:v>1798.0959399999999</c:v>
                </c:pt>
                <c:pt idx="491">
                  <c:v>1820.2418299999999</c:v>
                </c:pt>
                <c:pt idx="492">
                  <c:v>1816.9920400000001</c:v>
                </c:pt>
                <c:pt idx="493">
                  <c:v>1824.4713899999999</c:v>
                </c:pt>
                <c:pt idx="494">
                  <c:v>1800</c:v>
                </c:pt>
                <c:pt idx="495">
                  <c:v>1800</c:v>
                </c:pt>
                <c:pt idx="496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B-49A0-A36D-A9339ABA5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021455"/>
        <c:axId val="1805029775"/>
      </c:lineChart>
      <c:dateAx>
        <c:axId val="1805021455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9775"/>
        <c:crosses val="autoZero"/>
        <c:auto val="1"/>
        <c:lblOffset val="100"/>
        <c:baseTimeUnit val="days"/>
      </c:dateAx>
      <c:valAx>
        <c:axId val="1805029775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145254</xdr:colOff>
      <xdr:row>12</xdr:row>
      <xdr:rowOff>40480</xdr:rowOff>
    </xdr:from>
    <xdr:to>
      <xdr:col>20</xdr:col>
      <xdr:colOff>14288</xdr:colOff>
      <xdr:row>29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4AF9DF-C480-4AB4-BF5B-09429CF54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78</xdr:row>
      <xdr:rowOff>14298</xdr:rowOff>
    </xdr:from>
    <xdr:to>
      <xdr:col>9</xdr:col>
      <xdr:colOff>590550</xdr:colOff>
      <xdr:row>108</xdr:row>
      <xdr:rowOff>109538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26FF00-667D-4568-AC72-E8DC875C2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642938</xdr:colOff>
      <xdr:row>78</xdr:row>
      <xdr:rowOff>19367</xdr:rowOff>
    </xdr:from>
    <xdr:to>
      <xdr:col>2</xdr:col>
      <xdr:colOff>2433638</xdr:colOff>
      <xdr:row>88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13E86B-CE42-4627-82B2-69CE48810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9C12DB1-D1A5-444A-B460-47695878A6E2}" autoFormatId="16" applyNumberFormats="0" applyBorderFormats="0" applyFontFormats="0" applyPatternFormats="0" applyAlignmentFormats="0" applyWidthHeightFormats="0">
  <queryTableRefresh nextId="11">
    <queryTableFields count="10">
      <queryTableField id="1" name="Date" tableColumnId="1"/>
      <queryTableField id="2" name="FNCMX" tableColumnId="2"/>
      <queryTableField id="3" name="FBGRX" tableColumnId="3"/>
      <queryTableField id="4" name="FOCPX" tableColumnId="4"/>
      <queryTableField id="5" name="FNILX" tableColumnId="5"/>
      <queryTableField id="6" name="FLCEX" tableColumnId="6"/>
      <queryTableField id="7" name="FSUTX" tableColumnId="7"/>
      <queryTableField id="8" name="FFGCX" tableColumnId="8"/>
      <queryTableField id="9" name="FPHAX" tableColumnId="9"/>
      <queryTableField id="10" name="FVDFX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31F29B-05D3-4FEA-B622-751A74906E89}" name="Table7" displayName="Table7" ref="V1:AQ498" totalsRowShown="0">
  <autoFilter ref="V1:AQ498" xr:uid="{96402C20-54D4-4747-BFC1-E7371D31B187}"/>
  <sortState xmlns:xlrd2="http://schemas.microsoft.com/office/spreadsheetml/2017/richdata2" ref="V2:AP126">
    <sortCondition descending="1" ref="V1:V126"/>
  </sortState>
  <tableColumns count="22">
    <tableColumn id="1" xr3:uid="{C64DE1CD-AA93-4EAA-B0F8-E7332DB67C78}" name="Date" dataDxfId="22"/>
    <tableColumn id="2" xr3:uid="{DA77FFCA-8A3B-4B90-B162-B978848A75A8}" name="FNCMX" dataDxfId="21"/>
    <tableColumn id="7" xr3:uid="{4C16DF87-B6B9-4F05-8945-07A752A51318}" name="Shares FNCMX" dataDxfId="20"/>
    <tableColumn id="15" xr3:uid="{E3C9629B-7D34-4CD3-A67C-1D1549BC4CF6}" name="Value FNCMX" dataDxfId="19">
      <calculatedColumnFormula>PRODUCT(W2,X2)</calculatedColumnFormula>
    </tableColumn>
    <tableColumn id="3" xr3:uid="{B502F3AB-11D7-4B00-8466-A4E0F61E5025}" name="FBGRX" dataDxfId="18"/>
    <tableColumn id="8" xr3:uid="{1E302BB5-54FC-4923-804F-516D8DC09AD9}" name="Shares FBGRX" dataDxfId="17"/>
    <tableColumn id="14" xr3:uid="{22BFDB8E-CFA1-4F15-B5E7-49DCCA0455FD}" name="Value FBGRX" dataDxfId="16">
      <calculatedColumnFormula>PRODUCT(Z2,AA2)</calculatedColumnFormula>
    </tableColumn>
    <tableColumn id="4" xr3:uid="{8E97EA49-E488-4DB7-90E8-57F853965FFF}" name="FOCPX" dataDxfId="15"/>
    <tableColumn id="9" xr3:uid="{D3ABF3CC-8417-464D-A95F-881DBAC2DF5E}" name="Shares FOCPX" dataDxfId="14"/>
    <tableColumn id="13" xr3:uid="{DBDF9CD6-BA85-43F7-9B4C-E6993F1808D5}" name="Value FOCPX" dataDxfId="13">
      <calculatedColumnFormula>PRODUCT(AC2,AD2)</calculatedColumnFormula>
    </tableColumn>
    <tableColumn id="5" xr3:uid="{5424467E-B425-41BE-9635-9C3C391B2D39}" name="FNILX" dataDxfId="12"/>
    <tableColumn id="12" xr3:uid="{41A1C6B9-C942-4763-8058-26A1B494D33B}" name="Shares FNILX" dataDxfId="11"/>
    <tableColumn id="16" xr3:uid="{20174D40-8A69-4007-AFE7-3C4EEF82A3AB}" name="Value FNILX" dataDxfId="10">
      <calculatedColumnFormula>PRODUCT(AF2,AG2)</calculatedColumnFormula>
    </tableColumn>
    <tableColumn id="18" xr3:uid="{9AB83E57-41B0-41AA-B02A-188A287AB940}" name="FLCEX" dataDxfId="9"/>
    <tableColumn id="19" xr3:uid="{A4A59D59-E1A4-439E-9338-16B98DE2D51A}" name="Shares FLCEX" dataDxfId="8"/>
    <tableColumn id="20" xr3:uid="{CF93ECAE-2EE2-4E59-A55F-71492AFAD79C}" name="Value FLCEX" dataDxfId="7">
      <calculatedColumnFormula>PRODUCT(AI2,AJ2)</calculatedColumnFormula>
    </tableColumn>
    <tableColumn id="21" xr3:uid="{A79FB0C1-009B-4724-9A6E-2A1595728421}" name="FFGCX" dataDxfId="6"/>
    <tableColumn id="22" xr3:uid="{0BC669EF-0860-4684-9080-51E1965528C8}" name="Shares FFGCX" dataDxfId="5"/>
    <tableColumn id="23" xr3:uid="{4A81FDE6-3353-4D9E-A253-0375836CD22A}" name="Value FFGCX" dataDxfId="4">
      <calculatedColumnFormula>PRODUCT(AL2,AM2)</calculatedColumnFormula>
    </tableColumn>
    <tableColumn id="17" xr3:uid="{31DEE052-AD7B-4C73-B879-464AC727E3B9}" name="SPAXX Value" dataDxfId="3"/>
    <tableColumn id="11" xr3:uid="{4C62181F-BCEE-4EDE-A5B0-D6C088CBE616}" name="Total" dataDxfId="2">
      <calculatedColumnFormula>SUM(Table7[[#This Row],[Value FNCMX]],Table7[[#This Row],[Value FBGRX]],Table7[[#This Row],[Value FOCPX]],Table7[[#This Row],[Value FNILX]],Table7[[#This Row],[Value FLCEX]], Table7[[#This Row],[Value FFGCX]], Table7[[#This Row],[SPAXX Value]])</calculatedColumnFormula>
    </tableColumn>
    <tableColumn id="6" xr3:uid="{818F97A9-4D90-4B01-B545-3C1C615FBD82}" name="Investment Increas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1D252D-8746-4B81-8522-2A0A9270E390}" name="Final__2" displayName="Final__2" ref="A1:J577" tableType="queryTable" totalsRowShown="0">
  <autoFilter ref="A1:J577" xr:uid="{9A1D252D-8746-4B81-8522-2A0A9270E390}"/>
  <tableColumns count="10">
    <tableColumn id="1" xr3:uid="{1416818C-06A6-43B5-A40D-8BD4579D10C9}" uniqueName="1" name="Date" queryTableFieldId="1" dataDxfId="0"/>
    <tableColumn id="2" xr3:uid="{D5C3DEF1-4C96-4C41-801D-D48931C8894D}" uniqueName="2" name="FNCMX" queryTableFieldId="2"/>
    <tableColumn id="3" xr3:uid="{B577E307-A3C2-4578-A06F-1A0B51519899}" uniqueName="3" name="FBGRX" queryTableFieldId="3"/>
    <tableColumn id="4" xr3:uid="{3E7C40C4-9A18-44DB-83EA-6D9E7491ADAD}" uniqueName="4" name="FOCPX" queryTableFieldId="4"/>
    <tableColumn id="5" xr3:uid="{FFD70EDB-C424-43FE-B489-5BE1FAB75772}" uniqueName="5" name="FNILX" queryTableFieldId="5"/>
    <tableColumn id="6" xr3:uid="{971760F8-A976-44C2-984C-6DB97C44EA34}" uniqueName="6" name="FLCEX" queryTableFieldId="6"/>
    <tableColumn id="7" xr3:uid="{73C12EA2-A5CE-4AA9-9A2B-018A6BDC1C9C}" uniqueName="7" name="FSUTX" queryTableFieldId="7"/>
    <tableColumn id="8" xr3:uid="{C7D9BA8D-68FA-40C7-B19D-81D103664AE9}" uniqueName="8" name="FFGCX" queryTableFieldId="8"/>
    <tableColumn id="9" xr3:uid="{EA653A49-36A8-4CF2-8184-B3AB227762EF}" uniqueName="9" name="FPHAX" queryTableFieldId="9"/>
    <tableColumn id="10" xr3:uid="{1BB8B7C1-0E48-4810-9177-A129B97A19E5}" uniqueName="10" name="FVDFX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594FC-8058-42F1-BAA3-B4858D37F8BE}">
  <sheetPr codeName="Sheet2"/>
  <dimension ref="A1:AV498"/>
  <sheetViews>
    <sheetView tabSelected="1" topLeftCell="U1" zoomScale="75" zoomScaleNormal="100" workbookViewId="0">
      <pane ySplit="1" topLeftCell="A2" activePane="bottomLeft" state="frozen"/>
      <selection activeCell="G1" sqref="G1"/>
      <selection pane="bottomLeft" activeCell="M22" sqref="M22"/>
    </sheetView>
  </sheetViews>
  <sheetFormatPr defaultRowHeight="14.25" x14ac:dyDescent="0.45"/>
  <cols>
    <col min="1" max="1" width="10.265625" style="1" customWidth="1"/>
    <col min="2" max="2" width="13.6640625" style="1" customWidth="1"/>
    <col min="3" max="3" width="42.33203125" customWidth="1"/>
    <col min="4" max="4" width="11.9296875" customWidth="1"/>
    <col min="5" max="5" width="17.1328125" customWidth="1"/>
    <col min="6" max="6" width="8.19921875" style="2" customWidth="1"/>
    <col min="7" max="7" width="8.9296875" style="3" customWidth="1"/>
    <col min="8" max="8" width="9.06640625" style="3"/>
    <col min="9" max="9" width="14.33203125" customWidth="1"/>
    <col min="10" max="10" width="10.46484375" style="3" bestFit="1" customWidth="1"/>
    <col min="11" max="11" width="13.59765625" customWidth="1"/>
    <col min="17" max="17" width="16.3984375" customWidth="1"/>
    <col min="18" max="18" width="11.06640625" style="2" customWidth="1"/>
    <col min="19" max="20" width="11.796875" style="3" customWidth="1"/>
    <col min="22" max="22" width="10.6640625" style="9" customWidth="1"/>
    <col min="24" max="24" width="9.06640625" style="2"/>
    <col min="25" max="25" width="10.06640625" customWidth="1"/>
    <col min="27" max="27" width="9.06640625" style="2"/>
    <col min="28" max="28" width="9.796875" customWidth="1"/>
    <col min="30" max="30" width="9.06640625" style="2"/>
    <col min="31" max="31" width="11.19921875" customWidth="1"/>
    <col min="33" max="33" width="9.06640625" style="2"/>
    <col min="41" max="42" width="12" customWidth="1"/>
    <col min="43" max="43" width="13.86328125" customWidth="1"/>
    <col min="48" max="48" width="11.19921875" customWidth="1"/>
  </cols>
  <sheetData>
    <row r="1" spans="1:48" x14ac:dyDescent="0.45">
      <c r="A1" s="1" t="s">
        <v>19</v>
      </c>
      <c r="B1" s="1" t="s">
        <v>20</v>
      </c>
      <c r="C1" t="s">
        <v>0</v>
      </c>
      <c r="D1" t="s">
        <v>1</v>
      </c>
      <c r="E1" t="s">
        <v>2</v>
      </c>
      <c r="F1" s="2" t="s">
        <v>3</v>
      </c>
      <c r="G1" s="3" t="s">
        <v>4</v>
      </c>
      <c r="H1" s="3" t="s">
        <v>13</v>
      </c>
      <c r="I1" t="s">
        <v>5</v>
      </c>
      <c r="J1" s="3" t="s">
        <v>6</v>
      </c>
      <c r="K1" s="3" t="s">
        <v>18</v>
      </c>
      <c r="L1" s="3" t="s">
        <v>21</v>
      </c>
      <c r="M1" s="3" t="s">
        <v>22</v>
      </c>
      <c r="N1" s="3" t="s">
        <v>23</v>
      </c>
      <c r="R1" s="2" t="s">
        <v>26</v>
      </c>
      <c r="S1" s="3" t="s">
        <v>27</v>
      </c>
      <c r="T1" s="3" t="s">
        <v>28</v>
      </c>
      <c r="V1" s="9" t="s">
        <v>29</v>
      </c>
      <c r="W1" s="3" t="s">
        <v>30</v>
      </c>
      <c r="X1" s="2" t="s">
        <v>35</v>
      </c>
      <c r="Y1" s="3" t="s">
        <v>36</v>
      </c>
      <c r="Z1" s="3" t="s">
        <v>31</v>
      </c>
      <c r="AA1" s="2" t="s">
        <v>37</v>
      </c>
      <c r="AB1" s="3" t="s">
        <v>38</v>
      </c>
      <c r="AC1" s="3" t="s">
        <v>32</v>
      </c>
      <c r="AD1" s="2" t="s">
        <v>39</v>
      </c>
      <c r="AE1" s="3" t="s">
        <v>40</v>
      </c>
      <c r="AF1" s="3" t="s">
        <v>33</v>
      </c>
      <c r="AG1" s="2" t="s">
        <v>41</v>
      </c>
      <c r="AH1" s="3" t="s">
        <v>42</v>
      </c>
      <c r="AI1" s="3" t="s">
        <v>55</v>
      </c>
      <c r="AJ1" s="3" t="s">
        <v>61</v>
      </c>
      <c r="AK1" s="3" t="s">
        <v>62</v>
      </c>
      <c r="AL1" s="3" t="s">
        <v>57</v>
      </c>
      <c r="AM1" s="3" t="s">
        <v>63</v>
      </c>
      <c r="AN1" s="3" t="s">
        <v>64</v>
      </c>
      <c r="AO1" s="3" t="s">
        <v>43</v>
      </c>
      <c r="AP1" s="3" t="s">
        <v>34</v>
      </c>
      <c r="AQ1" t="s">
        <v>50</v>
      </c>
      <c r="AR1" s="2"/>
      <c r="AS1" s="3"/>
      <c r="AT1" s="3"/>
    </row>
    <row r="2" spans="1:48" x14ac:dyDescent="0.45">
      <c r="B2" s="1">
        <v>44027</v>
      </c>
      <c r="C2" t="s">
        <v>46</v>
      </c>
      <c r="E2" t="s">
        <v>7</v>
      </c>
      <c r="J2" s="3">
        <v>1800</v>
      </c>
      <c r="P2" t="s">
        <v>30</v>
      </c>
      <c r="Q2" s="4" t="s">
        <v>8</v>
      </c>
      <c r="R2" s="2" cm="1">
        <f t="array" ref="R2">SUM($F$2:$F$500*($C$2:$C$500=$Q$2))</f>
        <v>4.3230000000000004</v>
      </c>
      <c r="S2" s="3">
        <f>W2</f>
        <v>143.1</v>
      </c>
      <c r="T2" s="3">
        <f>PRODUCT(R2,S2)</f>
        <v>618.62130000000002</v>
      </c>
      <c r="V2" s="9">
        <v>44747</v>
      </c>
      <c r="W2" s="3">
        <v>143.1</v>
      </c>
      <c r="X2" s="2" cm="1">
        <f t="array" ref="X2">SUM($F$2:$F$59*($C$2:$C$59=$Q$2))</f>
        <v>4.3230000000000004</v>
      </c>
      <c r="Y2" s="3">
        <f t="shared" ref="Y2:Y65" si="0">PRODUCT(W2,X2)</f>
        <v>618.62130000000002</v>
      </c>
      <c r="Z2" s="3">
        <v>119.91</v>
      </c>
      <c r="AA2" s="2" cm="1">
        <f t="array" ref="AA2">SUM($F$2:$F$59*($C$2:$C$59=$Q$3))</f>
        <v>5.8720999999999997</v>
      </c>
      <c r="AB2" s="3">
        <f t="shared" ref="AB2:AB65" si="1">PRODUCT(Z2,AA2)</f>
        <v>704.12351099999989</v>
      </c>
      <c r="AC2" s="3">
        <v>13.8</v>
      </c>
      <c r="AD2" s="2" cm="1">
        <f t="array" ref="AD2">SUM($F$2:$F$59*($C$2:$C$59=$Q$4))</f>
        <v>21.983000000000001</v>
      </c>
      <c r="AE2" s="3">
        <f t="shared" ref="AE2:AE65" si="2">PRODUCT(AC2,AD2)</f>
        <v>303.36540000000002</v>
      </c>
      <c r="AF2" s="3">
        <v>13.51</v>
      </c>
      <c r="AG2" s="2" cm="1">
        <f t="array" ref="AG2">SUM($F$2:$F$59*($C$2:$C$59=$Q$5))</f>
        <v>43.772999999999996</v>
      </c>
      <c r="AH2" s="3">
        <f t="shared" ref="AH2:AH65" si="3">PRODUCT(AF2,AG2)</f>
        <v>591.37322999999992</v>
      </c>
      <c r="AI2" s="3">
        <v>17.98</v>
      </c>
      <c r="AJ2" s="2" cm="1">
        <f t="array" ref="AJ2">SUM($F$2:$F$59*($C$2:$C$59=$Q$6))</f>
        <v>0</v>
      </c>
      <c r="AK2" s="3">
        <f t="shared" ref="AK2:AK65" si="4">PRODUCT(AI2,AJ2)</f>
        <v>0</v>
      </c>
      <c r="AL2" s="3">
        <v>16.739999999999998</v>
      </c>
      <c r="AM2" s="2" cm="1">
        <f t="array" ref="AM2">SUM($F$2:$F$59*($C$2:$C$59=$Q$8))</f>
        <v>0</v>
      </c>
      <c r="AN2" s="3">
        <f t="shared" ref="AN2:AN65" si="5">PRODUCT(AL2,AM2)</f>
        <v>0</v>
      </c>
      <c r="AO2" s="3">
        <f>SUM(J2:J59)</f>
        <v>1376.3100000000004</v>
      </c>
      <c r="AP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3593.7934410000007</v>
      </c>
      <c r="AQ2" s="3" cm="1">
        <f t="array" aca="1" ref="AQ2" ca="1">OFFSET(Table7[[#This Row],[Investment Increase]],0,-1)-SUM($J$2:$J$59*($E$2:$E$59=$Q$31))</f>
        <v>154.79344100000071</v>
      </c>
      <c r="AR2" s="2"/>
      <c r="AS2" s="3"/>
      <c r="AT2" s="3"/>
    </row>
    <row r="3" spans="1:48" x14ac:dyDescent="0.45">
      <c r="A3" s="1">
        <v>44029</v>
      </c>
      <c r="B3" s="1">
        <v>44034</v>
      </c>
      <c r="C3" s="4" t="s">
        <v>8</v>
      </c>
      <c r="D3">
        <v>315912709</v>
      </c>
      <c r="E3" t="s">
        <v>9</v>
      </c>
      <c r="F3" s="2">
        <v>3.0209999999999999</v>
      </c>
      <c r="G3" s="3">
        <v>132.4</v>
      </c>
      <c r="J3" s="3">
        <v>-400</v>
      </c>
      <c r="K3" t="s">
        <v>65</v>
      </c>
      <c r="L3" t="s">
        <v>24</v>
      </c>
      <c r="M3" t="s">
        <v>25</v>
      </c>
      <c r="N3" t="s">
        <v>66</v>
      </c>
      <c r="P3" t="s">
        <v>31</v>
      </c>
      <c r="Q3" s="7" t="s">
        <v>12</v>
      </c>
      <c r="R3" s="2" cm="1">
        <f t="array" ref="R3">SUM($F$2:$F$500*($C$2:$C$500=$Q$3))</f>
        <v>5.8720999999999997</v>
      </c>
      <c r="S3" s="3">
        <f>Z2</f>
        <v>119.91</v>
      </c>
      <c r="T3" s="3">
        <f>PRODUCT(R3,S3)</f>
        <v>704.12351099999989</v>
      </c>
      <c r="V3" s="9">
        <v>44743</v>
      </c>
      <c r="W3" s="3">
        <v>140.62</v>
      </c>
      <c r="X3" s="2" cm="1">
        <f t="array" ref="X3">SUM($F$2:$F$59*($C$2:$C$59=$Q$2))</f>
        <v>4.3230000000000004</v>
      </c>
      <c r="Y3" s="3">
        <f t="shared" si="0"/>
        <v>607.90026000000012</v>
      </c>
      <c r="Z3" s="3">
        <v>117.29</v>
      </c>
      <c r="AA3" s="2" cm="1">
        <f t="array" ref="AA3">SUM($F$2:$F$59*($C$2:$C$59=$Q$3))</f>
        <v>5.8720999999999997</v>
      </c>
      <c r="AB3" s="3">
        <f t="shared" si="1"/>
        <v>688.738609</v>
      </c>
      <c r="AC3" s="3">
        <v>13.59</v>
      </c>
      <c r="AD3" s="2" cm="1">
        <f t="array" ref="AD3">SUM($F$2:$F$59*($C$2:$C$59=$Q$4))</f>
        <v>21.983000000000001</v>
      </c>
      <c r="AE3" s="3">
        <f t="shared" si="2"/>
        <v>298.74896999999999</v>
      </c>
      <c r="AF3" s="3">
        <v>13.47</v>
      </c>
      <c r="AG3" s="2" cm="1">
        <f t="array" ref="AG3">SUM($F$2:$F$59*($C$2:$C$59=$Q$5))</f>
        <v>43.772999999999996</v>
      </c>
      <c r="AH3" s="3">
        <f t="shared" si="3"/>
        <v>589.62230999999997</v>
      </c>
      <c r="AI3" s="3">
        <v>17.96</v>
      </c>
      <c r="AJ3" s="2" cm="1">
        <f t="array" ref="AJ3">SUM($F$2:$F$59*($C$2:$C$59=$Q$6))</f>
        <v>0</v>
      </c>
      <c r="AK3" s="3">
        <f t="shared" si="4"/>
        <v>0</v>
      </c>
      <c r="AL3" s="3">
        <v>17.41</v>
      </c>
      <c r="AM3" s="2" cm="1">
        <f t="array" ref="AM3">SUM($F$2:$F$59*($C$2:$C$59=$Q$8))</f>
        <v>0</v>
      </c>
      <c r="AN3" s="3">
        <f t="shared" si="5"/>
        <v>0</v>
      </c>
      <c r="AO3" s="3">
        <f>SUM(J2:J59)</f>
        <v>1376.3100000000004</v>
      </c>
      <c r="AP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3561.3201490000001</v>
      </c>
      <c r="AQ3" s="3" cm="1">
        <f t="array" aca="1" ref="AQ3" ca="1">OFFSET(Table7[[#This Row],[Investment Increase]],0,-1)-SUM($J$2:$J$59*($E$2:$E$59=$Q$31))</f>
        <v>122.32014900000013</v>
      </c>
      <c r="AR3" s="2"/>
      <c r="AS3" s="3"/>
      <c r="AT3" s="3"/>
    </row>
    <row r="4" spans="1:48" x14ac:dyDescent="0.45">
      <c r="A4" s="1">
        <v>44029</v>
      </c>
      <c r="B4" s="1">
        <v>44034</v>
      </c>
      <c r="C4" s="5" t="s">
        <v>10</v>
      </c>
      <c r="D4">
        <v>316389105</v>
      </c>
      <c r="E4" t="s">
        <v>9</v>
      </c>
      <c r="F4" s="2">
        <v>32.872999999999998</v>
      </c>
      <c r="G4" s="3">
        <v>15.21</v>
      </c>
      <c r="J4" s="3">
        <v>-500</v>
      </c>
      <c r="K4" t="s">
        <v>65</v>
      </c>
      <c r="L4" t="s">
        <v>24</v>
      </c>
      <c r="M4" t="s">
        <v>25</v>
      </c>
      <c r="N4" t="s">
        <v>66</v>
      </c>
      <c r="P4" t="s">
        <v>32</v>
      </c>
      <c r="Q4" s="5" t="s">
        <v>10</v>
      </c>
      <c r="R4" s="2" cm="1">
        <f t="array" ref="R4">SUM($F$2:$F$500*($C$2:$C$500=$Q$4))</f>
        <v>21.983000000000001</v>
      </c>
      <c r="S4" s="3">
        <f>AC2</f>
        <v>13.8</v>
      </c>
      <c r="T4" s="3">
        <f>PRODUCT(R4,S4)</f>
        <v>303.36540000000002</v>
      </c>
      <c r="V4" s="9">
        <v>44742</v>
      </c>
      <c r="W4" s="3">
        <v>139.37</v>
      </c>
      <c r="X4" s="2" cm="1">
        <f t="array" ref="X4">SUM($F$2:$F$59*($C$2:$C$59=$Q$2))</f>
        <v>4.3230000000000004</v>
      </c>
      <c r="Y4" s="3">
        <f t="shared" si="0"/>
        <v>602.49651000000006</v>
      </c>
      <c r="Z4" s="3">
        <v>116.58</v>
      </c>
      <c r="AA4" s="2" cm="1">
        <f t="array" ref="AA4">SUM($F$2:$F$59*($C$2:$C$59=$Q$3))</f>
        <v>5.8720999999999997</v>
      </c>
      <c r="AB4" s="3">
        <f t="shared" si="1"/>
        <v>684.56941799999993</v>
      </c>
      <c r="AC4" s="3">
        <v>13.51</v>
      </c>
      <c r="AD4" s="2" cm="1">
        <f t="array" ref="AD4">SUM($F$2:$F$59*($C$2:$C$59=$Q$4))</f>
        <v>21.983000000000001</v>
      </c>
      <c r="AE4" s="3">
        <f t="shared" si="2"/>
        <v>296.99033000000003</v>
      </c>
      <c r="AF4" s="3">
        <v>13.32</v>
      </c>
      <c r="AG4" s="2" cm="1">
        <f t="array" ref="AG4">SUM($F$2:$F$59*($C$2:$C$59=$Q$5))</f>
        <v>43.772999999999996</v>
      </c>
      <c r="AH4" s="3">
        <f t="shared" si="3"/>
        <v>583.05635999999993</v>
      </c>
      <c r="AI4" s="3">
        <v>17.78</v>
      </c>
      <c r="AJ4" s="2" cm="1">
        <f t="array" ref="AJ4">SUM($F$2:$F$59*($C$2:$C$59=$Q$6))</f>
        <v>0</v>
      </c>
      <c r="AK4" s="3">
        <f t="shared" si="4"/>
        <v>0</v>
      </c>
      <c r="AL4" s="3">
        <v>17.39</v>
      </c>
      <c r="AM4" s="2" cm="1">
        <f t="array" ref="AM4">SUM($F$2:$F$59*($C$2:$C$59=$Q$8))</f>
        <v>0</v>
      </c>
      <c r="AN4" s="3">
        <f t="shared" si="5"/>
        <v>0</v>
      </c>
      <c r="AO4" s="3">
        <f>SUM(J2:J59)</f>
        <v>1376.3100000000004</v>
      </c>
      <c r="AP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3543.4226180000005</v>
      </c>
      <c r="AQ4" s="3" cm="1">
        <f t="array" aca="1" ref="AQ4" ca="1">OFFSET(Table7[[#This Row],[Investment Increase]],0,-1)-SUM($J$2:$J$59*($E$2:$E$59=$Q$31))</f>
        <v>104.42261800000051</v>
      </c>
      <c r="AR4" s="2"/>
      <c r="AS4" s="3"/>
      <c r="AT4" s="3"/>
    </row>
    <row r="5" spans="1:48" x14ac:dyDescent="0.45">
      <c r="A5" s="1">
        <v>44030</v>
      </c>
      <c r="B5" s="1">
        <v>44034</v>
      </c>
      <c r="C5" s="6" t="s">
        <v>11</v>
      </c>
      <c r="D5">
        <v>315911628</v>
      </c>
      <c r="E5" t="s">
        <v>9</v>
      </c>
      <c r="F5" s="2">
        <v>8.7029999999999994</v>
      </c>
      <c r="G5" s="3">
        <v>11.49</v>
      </c>
      <c r="J5" s="3">
        <v>-100</v>
      </c>
      <c r="K5" t="s">
        <v>65</v>
      </c>
      <c r="L5" t="s">
        <v>24</v>
      </c>
      <c r="M5" t="s">
        <v>25</v>
      </c>
      <c r="N5" t="s">
        <v>66</v>
      </c>
      <c r="P5" t="s">
        <v>33</v>
      </c>
      <c r="Q5" s="6" t="s">
        <v>11</v>
      </c>
      <c r="R5" s="2" cm="1">
        <f t="array" ref="R5">SUM($F$2:$F$500*($C$2:$C$500=$Q$5))</f>
        <v>43.772999999999996</v>
      </c>
      <c r="S5" s="3">
        <f>AF2</f>
        <v>13.51</v>
      </c>
      <c r="T5" s="3">
        <f>PRODUCT(R5,S5)</f>
        <v>591.37322999999992</v>
      </c>
      <c r="V5" s="9">
        <v>44741</v>
      </c>
      <c r="W5" s="3">
        <v>141.25</v>
      </c>
      <c r="X5" s="2" cm="1">
        <f t="array" ref="X5">SUM($F$2:$F$59*($C$2:$C$59=$Q$2))</f>
        <v>4.3230000000000004</v>
      </c>
      <c r="Y5" s="3">
        <f t="shared" si="0"/>
        <v>610.62375000000009</v>
      </c>
      <c r="Z5" s="3">
        <v>118.84</v>
      </c>
      <c r="AA5" s="2" cm="1">
        <f t="array" ref="AA5">SUM($F$2:$F$59*($C$2:$C$59=$Q$3))</f>
        <v>5.8720999999999997</v>
      </c>
      <c r="AB5" s="3">
        <f t="shared" si="1"/>
        <v>697.84036400000002</v>
      </c>
      <c r="AC5" s="3">
        <v>13.71</v>
      </c>
      <c r="AD5" s="2" cm="1">
        <f t="array" ref="AD5">SUM($F$2:$F$59*($C$2:$C$59=$Q$4))</f>
        <v>21.983000000000001</v>
      </c>
      <c r="AE5" s="3">
        <f t="shared" si="2"/>
        <v>301.38693000000001</v>
      </c>
      <c r="AF5" s="3">
        <v>13.44</v>
      </c>
      <c r="AG5" s="2" cm="1">
        <f t="array" ref="AG5">SUM($F$2:$F$59*($C$2:$C$59=$Q$5))</f>
        <v>43.772999999999996</v>
      </c>
      <c r="AH5" s="3">
        <f t="shared" si="3"/>
        <v>588.30911999999989</v>
      </c>
      <c r="AI5" s="3">
        <v>17.93</v>
      </c>
      <c r="AJ5" s="2" cm="1">
        <f t="array" ref="AJ5">SUM($F$2:$F$59*($C$2:$C$59=$Q$6))</f>
        <v>0</v>
      </c>
      <c r="AK5" s="3">
        <f t="shared" si="4"/>
        <v>0</v>
      </c>
      <c r="AL5" s="3">
        <v>17.809999999999999</v>
      </c>
      <c r="AM5" s="2" cm="1">
        <f t="array" ref="AM5">SUM($F$2:$F$59*($C$2:$C$59=$Q$8))</f>
        <v>0</v>
      </c>
      <c r="AN5" s="3">
        <f t="shared" si="5"/>
        <v>0</v>
      </c>
      <c r="AO5" s="3">
        <f>SUM(J2:J59)</f>
        <v>1376.3100000000004</v>
      </c>
      <c r="AP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3574.4701640000003</v>
      </c>
      <c r="AQ5" s="3" cm="1">
        <f t="array" aca="1" ref="AQ5" ca="1">OFFSET(Table7[[#This Row],[Investment Increase]],0,-1)-SUM($J$2:$J$59*($E$2:$E$59=$Q$31))</f>
        <v>135.4701640000003</v>
      </c>
      <c r="AR5" s="2"/>
      <c r="AS5" s="3"/>
      <c r="AT5" s="3"/>
    </row>
    <row r="6" spans="1:48" x14ac:dyDescent="0.45">
      <c r="B6" s="1">
        <v>44085</v>
      </c>
      <c r="C6" s="7" t="s">
        <v>10</v>
      </c>
      <c r="D6">
        <v>316389105</v>
      </c>
      <c r="E6" t="s">
        <v>15</v>
      </c>
      <c r="J6" s="3">
        <v>0.43</v>
      </c>
      <c r="P6" t="s">
        <v>55</v>
      </c>
      <c r="Q6" t="s">
        <v>54</v>
      </c>
      <c r="R6" s="2" cm="1">
        <f t="array" ref="R6">SUM($F$2:$F$500*($C$2:$C$500=$Q$6))</f>
        <v>0</v>
      </c>
      <c r="S6" s="3">
        <f>AI2</f>
        <v>17.98</v>
      </c>
      <c r="T6" s="3">
        <f>PRODUCT(R6,S6)</f>
        <v>0</v>
      </c>
      <c r="V6" s="9">
        <v>44740</v>
      </c>
      <c r="W6" s="3">
        <v>141.28</v>
      </c>
      <c r="X6" s="2" cm="1">
        <f t="array" ref="X6">SUM($F$2:$F$59*($C$2:$C$59=$Q$2))</f>
        <v>4.3230000000000004</v>
      </c>
      <c r="Y6" s="3">
        <f t="shared" si="0"/>
        <v>610.75344000000007</v>
      </c>
      <c r="Z6" s="3">
        <v>119.35</v>
      </c>
      <c r="AA6" s="2" cm="1">
        <f t="array" ref="AA6">SUM($F$2:$F$59*($C$2:$C$59=$Q$3))</f>
        <v>5.8720999999999997</v>
      </c>
      <c r="AB6" s="3">
        <f t="shared" si="1"/>
        <v>700.83513499999992</v>
      </c>
      <c r="AC6" s="3">
        <v>13.64</v>
      </c>
      <c r="AD6" s="2" cm="1">
        <f t="array" ref="AD6">SUM($F$2:$F$59*($C$2:$C$59=$Q$4))</f>
        <v>21.983000000000001</v>
      </c>
      <c r="AE6" s="3">
        <f t="shared" si="2"/>
        <v>299.84811999999999</v>
      </c>
      <c r="AF6" s="3">
        <v>13.46</v>
      </c>
      <c r="AG6" s="2" cm="1">
        <f t="array" ref="AG6">SUM($F$2:$F$59*($C$2:$C$59=$Q$5))</f>
        <v>43.772999999999996</v>
      </c>
      <c r="AH6" s="3">
        <f t="shared" si="3"/>
        <v>589.18457999999998</v>
      </c>
      <c r="AI6" s="3">
        <v>17.940000000000001</v>
      </c>
      <c r="AJ6" s="2" cm="1">
        <f t="array" ref="AJ6">SUM($F$2:$F$59*($C$2:$C$59=$Q$6))</f>
        <v>0</v>
      </c>
      <c r="AK6" s="3">
        <f t="shared" si="4"/>
        <v>0</v>
      </c>
      <c r="AL6" s="3">
        <v>18.13</v>
      </c>
      <c r="AM6" s="2" cm="1">
        <f t="array" ref="AM6">SUM($F$2:$F$59*($C$2:$C$59=$Q$8))</f>
        <v>0</v>
      </c>
      <c r="AN6" s="3">
        <f t="shared" si="5"/>
        <v>0</v>
      </c>
      <c r="AO6" s="3">
        <f>SUM(J2:J59)</f>
        <v>1376.3100000000004</v>
      </c>
      <c r="AP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3576.9312750000004</v>
      </c>
      <c r="AQ6" s="3" cm="1">
        <f t="array" aca="1" ref="AQ6" ca="1">OFFSET(Table7[[#This Row],[Investment Increase]],0,-1)-SUM($J$2:$J$59*($E$2:$E$59=$Q$31))</f>
        <v>137.93127500000037</v>
      </c>
      <c r="AR6" s="2"/>
      <c r="AS6" s="3"/>
      <c r="AT6" s="3"/>
      <c r="AV6" s="3"/>
    </row>
    <row r="7" spans="1:48" x14ac:dyDescent="0.45">
      <c r="B7" s="1">
        <v>44085</v>
      </c>
      <c r="C7" s="7" t="s">
        <v>10</v>
      </c>
      <c r="D7">
        <v>316389105</v>
      </c>
      <c r="E7" t="s">
        <v>16</v>
      </c>
      <c r="J7" s="3">
        <v>26.21</v>
      </c>
      <c r="P7" t="s">
        <v>56</v>
      </c>
      <c r="V7" s="9">
        <v>44739</v>
      </c>
      <c r="W7" s="3">
        <v>145.6</v>
      </c>
      <c r="X7" s="2" cm="1">
        <f t="array" ref="X7">SUM($F$2:$F$59*($C$2:$C$59=$Q$2))</f>
        <v>4.3230000000000004</v>
      </c>
      <c r="Y7" s="3">
        <f t="shared" si="0"/>
        <v>629.42880000000002</v>
      </c>
      <c r="Z7" s="3">
        <v>123.46</v>
      </c>
      <c r="AA7" s="2" cm="1">
        <f t="array" ref="AA7">SUM($F$2:$F$59*($C$2:$C$59=$Q$3))</f>
        <v>5.8720999999999997</v>
      </c>
      <c r="AB7" s="3">
        <f t="shared" si="1"/>
        <v>724.9694659999999</v>
      </c>
      <c r="AC7" s="3">
        <v>14.03</v>
      </c>
      <c r="AD7" s="2" cm="1">
        <f t="array" ref="AD7">SUM($F$2:$F$59*($C$2:$C$59=$Q$4))</f>
        <v>21.983000000000001</v>
      </c>
      <c r="AE7" s="3">
        <f t="shared" si="2"/>
        <v>308.42149000000001</v>
      </c>
      <c r="AF7" s="3">
        <v>13.74</v>
      </c>
      <c r="AG7" s="2" cm="1">
        <f t="array" ref="AG7">SUM($F$2:$F$59*($C$2:$C$59=$Q$5))</f>
        <v>43.772999999999996</v>
      </c>
      <c r="AH7" s="3">
        <f t="shared" si="3"/>
        <v>601.44101999999998</v>
      </c>
      <c r="AI7" s="3">
        <v>18.29</v>
      </c>
      <c r="AJ7" s="2" cm="1">
        <f t="array" ref="AJ7">SUM($F$2:$F$59*($C$2:$C$59=$Q$6))</f>
        <v>0</v>
      </c>
      <c r="AK7" s="3">
        <f t="shared" si="4"/>
        <v>0</v>
      </c>
      <c r="AL7" s="3">
        <v>17.97</v>
      </c>
      <c r="AM7" s="2" cm="1">
        <f t="array" ref="AM7">SUM($F$2:$F$59*($C$2:$C$59=$Q$8))</f>
        <v>0</v>
      </c>
      <c r="AN7" s="3">
        <f t="shared" si="5"/>
        <v>0</v>
      </c>
      <c r="AO7" s="3">
        <f>SUM(J2:J59)</f>
        <v>1376.3100000000004</v>
      </c>
      <c r="AP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3640.5707760000005</v>
      </c>
      <c r="AQ7" s="3" cm="1">
        <f t="array" aca="1" ref="AQ7" ca="1">OFFSET(Table7[[#This Row],[Investment Increase]],0,-1)-SUM($J$2:$J$59*($E$2:$E$59=$Q$31))</f>
        <v>201.57077600000048</v>
      </c>
    </row>
    <row r="8" spans="1:48" x14ac:dyDescent="0.45">
      <c r="B8" s="1">
        <v>44085</v>
      </c>
      <c r="C8" s="7" t="s">
        <v>10</v>
      </c>
      <c r="D8">
        <v>316389105</v>
      </c>
      <c r="E8" t="s">
        <v>17</v>
      </c>
      <c r="J8" s="3">
        <v>9.1</v>
      </c>
      <c r="P8" t="s">
        <v>57</v>
      </c>
      <c r="Q8" t="s">
        <v>60</v>
      </c>
      <c r="R8" s="2" cm="1">
        <f t="array" ref="R8">SUM($F$2:$F$500*($C$2:$C$500=$Q$8))</f>
        <v>0</v>
      </c>
      <c r="S8" s="3">
        <f>AL2</f>
        <v>16.739999999999998</v>
      </c>
      <c r="T8" s="3">
        <f>PRODUCT(R8,S8)</f>
        <v>0</v>
      </c>
      <c r="V8" s="9">
        <v>44736</v>
      </c>
      <c r="W8" s="3">
        <v>146.65</v>
      </c>
      <c r="X8" s="2" cm="1">
        <f t="array" ref="X8">SUM($F$2:$F$59*($C$2:$C$59=$Q$2))</f>
        <v>4.3230000000000004</v>
      </c>
      <c r="Y8" s="3">
        <f t="shared" si="0"/>
        <v>633.96795000000009</v>
      </c>
      <c r="Z8" s="3">
        <v>124.43</v>
      </c>
      <c r="AA8" s="2" cm="1">
        <f t="array" ref="AA8">SUM($F$2:$F$59*($C$2:$C$59=$Q$3))</f>
        <v>5.8720999999999997</v>
      </c>
      <c r="AB8" s="3">
        <f t="shared" si="1"/>
        <v>730.66540299999997</v>
      </c>
      <c r="AC8" s="3">
        <v>14.15</v>
      </c>
      <c r="AD8" s="2" cm="1">
        <f t="array" ref="AD8">SUM($F$2:$F$59*($C$2:$C$59=$Q$4))</f>
        <v>21.983000000000001</v>
      </c>
      <c r="AE8" s="3">
        <f t="shared" si="2"/>
        <v>311.05945000000003</v>
      </c>
      <c r="AF8" s="3">
        <v>13.79</v>
      </c>
      <c r="AG8" s="2" cm="1">
        <f t="array" ref="AG8">SUM($F$2:$F$59*($C$2:$C$59=$Q$5))</f>
        <v>43.772999999999996</v>
      </c>
      <c r="AH8" s="3">
        <f t="shared" si="3"/>
        <v>603.62966999999992</v>
      </c>
      <c r="AI8" s="3">
        <v>18.32</v>
      </c>
      <c r="AJ8" s="2" cm="1">
        <f t="array" ref="AJ8">SUM($F$2:$F$59*($C$2:$C$59=$Q$6))</f>
        <v>0</v>
      </c>
      <c r="AK8" s="3">
        <f t="shared" si="4"/>
        <v>0</v>
      </c>
      <c r="AL8" s="3">
        <v>17.61</v>
      </c>
      <c r="AM8" s="2" cm="1">
        <f t="array" ref="AM8">SUM($F$2:$F$59*($C$2:$C$59=$Q$8))</f>
        <v>0</v>
      </c>
      <c r="AN8" s="3">
        <f t="shared" si="5"/>
        <v>0</v>
      </c>
      <c r="AO8" s="3">
        <f>SUM(J2:J59)</f>
        <v>1376.3100000000004</v>
      </c>
      <c r="AP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3655.6324730000006</v>
      </c>
      <c r="AQ8" s="3" cm="1">
        <f t="array" aca="1" ref="AQ8" ca="1">OFFSET(Table7[[#This Row],[Investment Increase]],0,-1)-SUM($J$2:$J$59*($E$2:$E$59=$Q$31))</f>
        <v>216.63247300000057</v>
      </c>
    </row>
    <row r="9" spans="1:48" x14ac:dyDescent="0.45">
      <c r="B9" s="1">
        <v>44085</v>
      </c>
      <c r="C9" s="7" t="s">
        <v>10</v>
      </c>
      <c r="D9">
        <v>316389105</v>
      </c>
      <c r="E9" t="s">
        <v>14</v>
      </c>
      <c r="F9" s="2">
        <v>2.331</v>
      </c>
      <c r="G9" s="3">
        <v>15.15</v>
      </c>
      <c r="J9" s="3">
        <v>-35.74</v>
      </c>
      <c r="P9" t="s">
        <v>58</v>
      </c>
      <c r="V9" s="9">
        <v>44735</v>
      </c>
      <c r="W9" s="3">
        <v>141.9</v>
      </c>
      <c r="X9" s="2" cm="1">
        <f t="array" ref="X9">SUM($F$2:$F$59*($C$2:$C$59=$Q$2))</f>
        <v>4.3230000000000004</v>
      </c>
      <c r="Y9" s="3">
        <f t="shared" si="0"/>
        <v>613.43370000000004</v>
      </c>
      <c r="Z9" s="3">
        <v>120.14</v>
      </c>
      <c r="AA9" s="2" cm="1">
        <f t="array" ref="AA9">SUM($F$2:$F$59*($C$2:$C$59=$Q$3))</f>
        <v>5.8720999999999997</v>
      </c>
      <c r="AB9" s="3">
        <f t="shared" si="1"/>
        <v>705.47409399999992</v>
      </c>
      <c r="AC9" s="3">
        <v>13.69</v>
      </c>
      <c r="AD9" s="2" cm="1">
        <f t="array" ref="AD9">SUM($F$2:$F$59*($C$2:$C$59=$Q$4))</f>
        <v>21.983000000000001</v>
      </c>
      <c r="AE9" s="3">
        <f t="shared" si="2"/>
        <v>300.94727</v>
      </c>
      <c r="AF9" s="3">
        <v>13.37</v>
      </c>
      <c r="AG9" s="2" cm="1">
        <f t="array" ref="AG9">SUM($F$2:$F$59*($C$2:$C$59=$Q$5))</f>
        <v>43.772999999999996</v>
      </c>
      <c r="AH9" s="3">
        <f t="shared" si="3"/>
        <v>585.24500999999987</v>
      </c>
      <c r="AI9" s="3">
        <v>17.79</v>
      </c>
      <c r="AJ9" s="2" cm="1">
        <f t="array" ref="AJ9">SUM($F$2:$F$59*($C$2:$C$59=$Q$6))</f>
        <v>0</v>
      </c>
      <c r="AK9" s="3">
        <f t="shared" si="4"/>
        <v>0</v>
      </c>
      <c r="AL9" s="3">
        <v>17.11</v>
      </c>
      <c r="AM9" s="2" cm="1">
        <f t="array" ref="AM9">SUM($F$2:$F$59*($C$2:$C$59=$Q$8))</f>
        <v>0</v>
      </c>
      <c r="AN9" s="3">
        <f t="shared" si="5"/>
        <v>0</v>
      </c>
      <c r="AO9" s="3">
        <f>SUM(J2:J59)</f>
        <v>1376.3100000000004</v>
      </c>
      <c r="AP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3581.4100740000003</v>
      </c>
      <c r="AQ9" s="3" cm="1">
        <f t="array" aca="1" ref="AQ9" ca="1">OFFSET(Table7[[#This Row],[Investment Increase]],0,-1)-SUM($J$2:$J$59*($E$2:$E$59=$Q$31))</f>
        <v>142.41007400000035</v>
      </c>
    </row>
    <row r="10" spans="1:48" x14ac:dyDescent="0.45">
      <c r="B10" s="1">
        <v>44095</v>
      </c>
      <c r="C10" s="7" t="s">
        <v>12</v>
      </c>
      <c r="D10">
        <v>316389303</v>
      </c>
      <c r="E10" t="s">
        <v>9</v>
      </c>
      <c r="F10" s="2">
        <v>0.72209999999999996</v>
      </c>
      <c r="G10" s="3">
        <v>131.21</v>
      </c>
      <c r="J10" s="3">
        <v>-100</v>
      </c>
      <c r="K10" t="s">
        <v>65</v>
      </c>
      <c r="L10" t="s">
        <v>24</v>
      </c>
      <c r="M10" t="s">
        <v>25</v>
      </c>
      <c r="N10" t="s">
        <v>66</v>
      </c>
      <c r="P10" t="s">
        <v>59</v>
      </c>
      <c r="V10" s="9">
        <v>44734</v>
      </c>
      <c r="W10" s="3">
        <v>139.63999999999999</v>
      </c>
      <c r="X10" s="2" cm="1">
        <f t="array" ref="X10">SUM($F$2:$F$59*($C$2:$C$59=$Q$2))</f>
        <v>4.3230000000000004</v>
      </c>
      <c r="Y10" s="3">
        <f t="shared" si="0"/>
        <v>603.66372000000001</v>
      </c>
      <c r="Z10" s="3">
        <v>118.51</v>
      </c>
      <c r="AA10" s="2" cm="1">
        <f t="array" ref="AA10">SUM($F$2:$F$59*($C$2:$C$59=$Q$3))</f>
        <v>5.8720999999999997</v>
      </c>
      <c r="AB10" s="3">
        <f t="shared" si="1"/>
        <v>695.90257099999997</v>
      </c>
      <c r="AC10" s="3">
        <v>13.49</v>
      </c>
      <c r="AD10" s="2" cm="1">
        <f t="array" ref="AD10">SUM($F$2:$F$59*($C$2:$C$59=$Q$4))</f>
        <v>21.983000000000001</v>
      </c>
      <c r="AE10" s="3">
        <f t="shared" si="2"/>
        <v>296.55067000000003</v>
      </c>
      <c r="AF10" s="3">
        <v>13.23</v>
      </c>
      <c r="AG10" s="2" cm="1">
        <f t="array" ref="AG10">SUM($F$2:$F$59*($C$2:$C$59=$Q$5))</f>
        <v>43.772999999999996</v>
      </c>
      <c r="AH10" s="3">
        <f t="shared" si="3"/>
        <v>579.11678999999992</v>
      </c>
      <c r="AI10" s="3">
        <v>17.64</v>
      </c>
      <c r="AJ10" s="2" cm="1">
        <f t="array" ref="AJ10">SUM($F$2:$F$59*($C$2:$C$59=$Q$6))</f>
        <v>0</v>
      </c>
      <c r="AK10" s="3">
        <f t="shared" si="4"/>
        <v>0</v>
      </c>
      <c r="AL10" s="3">
        <v>17.96</v>
      </c>
      <c r="AM10" s="2" cm="1">
        <f t="array" ref="AM10">SUM($F$2:$F$59*($C$2:$C$59=$Q$8))</f>
        <v>0</v>
      </c>
      <c r="AN10" s="3">
        <f t="shared" si="5"/>
        <v>0</v>
      </c>
      <c r="AO10" s="3">
        <f>SUM(J2:J59)</f>
        <v>1376.3100000000004</v>
      </c>
      <c r="AP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3551.5437510000006</v>
      </c>
      <c r="AQ10" s="3" cm="1">
        <f t="array" aca="1" ref="AQ10" ca="1">OFFSET(Table7[[#This Row],[Investment Increase]],0,-1)-SUM($J$2:$J$59*($E$2:$E$59=$Q$31))</f>
        <v>112.54375100000061</v>
      </c>
    </row>
    <row r="11" spans="1:48" x14ac:dyDescent="0.45">
      <c r="B11" s="1">
        <v>44096</v>
      </c>
      <c r="C11" s="7" t="s">
        <v>8</v>
      </c>
      <c r="D11">
        <v>315912709</v>
      </c>
      <c r="E11" t="s">
        <v>67</v>
      </c>
      <c r="F11" s="2">
        <v>-1.468</v>
      </c>
      <c r="G11" s="3">
        <v>195.32</v>
      </c>
      <c r="H11" s="3">
        <v>122.21</v>
      </c>
      <c r="J11" s="3">
        <v>200</v>
      </c>
      <c r="K11" t="s">
        <v>65</v>
      </c>
      <c r="L11" t="s">
        <v>24</v>
      </c>
      <c r="M11" t="s">
        <v>25</v>
      </c>
      <c r="N11" t="s">
        <v>66</v>
      </c>
      <c r="P11" t="s">
        <v>45</v>
      </c>
      <c r="Q11" t="s">
        <v>46</v>
      </c>
      <c r="R11" s="10">
        <f>SUM(J2:J500)</f>
        <v>1376.3100000000004</v>
      </c>
      <c r="S11" s="3">
        <v>1</v>
      </c>
      <c r="T11" s="3">
        <f>SUM(J2:J500)</f>
        <v>1376.3100000000004</v>
      </c>
      <c r="V11" s="9">
        <v>44733</v>
      </c>
      <c r="W11" s="3">
        <v>139.84</v>
      </c>
      <c r="X11" s="2" cm="1">
        <f t="array" ref="X11">SUM($F$2:$F$59*($C$2:$C$59=$Q$2))</f>
        <v>4.3230000000000004</v>
      </c>
      <c r="Y11" s="3">
        <f t="shared" si="0"/>
        <v>604.52832000000012</v>
      </c>
      <c r="Z11" s="3">
        <v>119.09</v>
      </c>
      <c r="AA11" s="2" cm="1">
        <f t="array" ref="AA11">SUM($F$2:$F$59*($C$2:$C$59=$Q$3))</f>
        <v>5.8720999999999997</v>
      </c>
      <c r="AB11" s="3">
        <f t="shared" si="1"/>
        <v>699.30838900000003</v>
      </c>
      <c r="AC11" s="3">
        <v>13.53</v>
      </c>
      <c r="AD11" s="2" cm="1">
        <f t="array" ref="AD11">SUM($F$2:$F$59*($C$2:$C$59=$Q$4))</f>
        <v>21.983000000000001</v>
      </c>
      <c r="AE11" s="3">
        <f t="shared" si="2"/>
        <v>297.42998999999998</v>
      </c>
      <c r="AF11" s="3">
        <v>13.25</v>
      </c>
      <c r="AG11" s="2" cm="1">
        <f t="array" ref="AG11">SUM($F$2:$F$59*($C$2:$C$59=$Q$5))</f>
        <v>43.772999999999996</v>
      </c>
      <c r="AH11" s="3">
        <f t="shared" si="3"/>
        <v>579.9922499999999</v>
      </c>
      <c r="AI11" s="3">
        <v>17.690000000000001</v>
      </c>
      <c r="AJ11" s="2" cm="1">
        <f t="array" ref="AJ11">SUM($F$2:$F$59*($C$2:$C$59=$Q$6))</f>
        <v>0</v>
      </c>
      <c r="AK11" s="3">
        <f t="shared" si="4"/>
        <v>0</v>
      </c>
      <c r="AL11" s="3">
        <v>18.57</v>
      </c>
      <c r="AM11" s="2" cm="1">
        <f t="array" ref="AM11">SUM($F$2:$F$59*($C$2:$C$59=$Q$8))</f>
        <v>0</v>
      </c>
      <c r="AN11" s="3">
        <f t="shared" si="5"/>
        <v>0</v>
      </c>
      <c r="AO11" s="3">
        <f>SUM(J2:J59)</f>
        <v>1376.3100000000004</v>
      </c>
      <c r="AP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3557.5689490000004</v>
      </c>
      <c r="AQ11" s="3" cm="1">
        <f t="array" aca="1" ref="AQ11" ca="1">OFFSET(Table7[[#This Row],[Investment Increase]],0,-1)-SUM($J$2:$J$59*($E$2:$E$59=$Q$31))</f>
        <v>118.56894900000043</v>
      </c>
    </row>
    <row r="12" spans="1:48" x14ac:dyDescent="0.45">
      <c r="B12" s="1">
        <v>44097</v>
      </c>
      <c r="C12" s="7" t="s">
        <v>10</v>
      </c>
      <c r="D12">
        <v>316389105</v>
      </c>
      <c r="E12" t="s">
        <v>9</v>
      </c>
      <c r="F12" s="2">
        <v>5.3259999999999996</v>
      </c>
      <c r="G12" s="3">
        <v>14.03</v>
      </c>
      <c r="J12" s="3">
        <v>-80</v>
      </c>
      <c r="K12" t="s">
        <v>65</v>
      </c>
      <c r="L12" t="s">
        <v>24</v>
      </c>
      <c r="M12" t="s">
        <v>25</v>
      </c>
      <c r="N12" t="s">
        <v>66</v>
      </c>
      <c r="T12" s="3">
        <f>SUM(T2:T11)</f>
        <v>3593.7934410000007</v>
      </c>
      <c r="V12" s="9">
        <v>44729</v>
      </c>
      <c r="W12" s="3">
        <v>136.41</v>
      </c>
      <c r="X12" s="2" cm="1">
        <f t="array" ref="X12">SUM($F$2:$F$59*($C$2:$C$59=$Q$2))</f>
        <v>4.3230000000000004</v>
      </c>
      <c r="Y12" s="3">
        <f t="shared" si="0"/>
        <v>589.70042999999998</v>
      </c>
      <c r="Z12" s="3">
        <v>116.22</v>
      </c>
      <c r="AA12" s="2" cm="1">
        <f t="array" ref="AA12">SUM($F$2:$F$59*($C$2:$C$59=$Q$3))</f>
        <v>5.8720999999999997</v>
      </c>
      <c r="AB12" s="3">
        <f t="shared" si="1"/>
        <v>682.4554619999999</v>
      </c>
      <c r="AC12" s="3">
        <v>13.25</v>
      </c>
      <c r="AD12" s="2" cm="1">
        <f t="array" ref="AD12">SUM($F$2:$F$59*($C$2:$C$59=$Q$4))</f>
        <v>21.983000000000001</v>
      </c>
      <c r="AE12" s="3">
        <f t="shared" si="2"/>
        <v>291.27474999999998</v>
      </c>
      <c r="AF12" s="3">
        <v>12.93</v>
      </c>
      <c r="AG12" s="2" cm="1">
        <f t="array" ref="AG12">SUM($F$2:$F$59*($C$2:$C$59=$Q$5))</f>
        <v>43.772999999999996</v>
      </c>
      <c r="AH12" s="3">
        <f t="shared" si="3"/>
        <v>565.98488999999995</v>
      </c>
      <c r="AI12" s="3">
        <v>17.29</v>
      </c>
      <c r="AJ12" s="2" cm="1">
        <f t="array" ref="AJ12">SUM($F$2:$F$59*($C$2:$C$59=$Q$6))</f>
        <v>0</v>
      </c>
      <c r="AK12" s="3">
        <f t="shared" si="4"/>
        <v>0</v>
      </c>
      <c r="AL12" s="3">
        <v>18.03</v>
      </c>
      <c r="AM12" s="2" cm="1">
        <f t="array" ref="AM12">SUM($F$2:$F$59*($C$2:$C$59=$Q$8))</f>
        <v>0</v>
      </c>
      <c r="AN12" s="3">
        <f t="shared" si="5"/>
        <v>0</v>
      </c>
      <c r="AO12" s="3">
        <f>SUM(J2:J59)</f>
        <v>1376.3100000000004</v>
      </c>
      <c r="AP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3505.7255320000004</v>
      </c>
      <c r="AQ12" s="3" cm="1">
        <f t="array" aca="1" ref="AQ12" ca="1">OFFSET(Table7[[#This Row],[Investment Increase]],0,-1)-SUM($J$2:$J$59*($E$2:$E$59=$Q$31))</f>
        <v>66.725532000000385</v>
      </c>
    </row>
    <row r="13" spans="1:48" x14ac:dyDescent="0.45">
      <c r="A13" s="1">
        <v>44138</v>
      </c>
      <c r="B13" s="1">
        <v>44139</v>
      </c>
      <c r="C13" s="7" t="s">
        <v>8</v>
      </c>
      <c r="D13">
        <v>315912709</v>
      </c>
      <c r="E13" t="s">
        <v>68</v>
      </c>
      <c r="F13" s="2">
        <v>-1.111</v>
      </c>
      <c r="G13" s="3">
        <v>133.93</v>
      </c>
      <c r="H13" s="3">
        <v>300</v>
      </c>
      <c r="J13" s="3">
        <v>148.80000000000001</v>
      </c>
      <c r="K13" t="s">
        <v>65</v>
      </c>
      <c r="L13" t="s">
        <v>24</v>
      </c>
      <c r="M13" t="s">
        <v>25</v>
      </c>
      <c r="N13" t="s">
        <v>66</v>
      </c>
      <c r="V13" s="9">
        <v>44728</v>
      </c>
      <c r="W13" s="3">
        <v>134.5</v>
      </c>
      <c r="X13" s="2" cm="1">
        <f t="array" ref="X13">SUM($F$2:$F$59*($C$2:$C$59=$Q$2))</f>
        <v>4.3230000000000004</v>
      </c>
      <c r="Y13" s="3">
        <f t="shared" si="0"/>
        <v>581.44350000000009</v>
      </c>
      <c r="Z13" s="3">
        <v>114.82</v>
      </c>
      <c r="AA13" s="2" cm="1">
        <f t="array" ref="AA13">SUM($F$2:$F$59*($C$2:$C$59=$Q$3))</f>
        <v>5.8720999999999997</v>
      </c>
      <c r="AB13" s="3">
        <f t="shared" si="1"/>
        <v>674.23452199999997</v>
      </c>
      <c r="AC13" s="3">
        <v>13.07</v>
      </c>
      <c r="AD13" s="2" cm="1">
        <f t="array" ref="AD13">SUM($F$2:$F$59*($C$2:$C$59=$Q$4))</f>
        <v>21.983000000000001</v>
      </c>
      <c r="AE13" s="3">
        <f t="shared" si="2"/>
        <v>287.31781000000001</v>
      </c>
      <c r="AF13" s="3">
        <v>12.89</v>
      </c>
      <c r="AG13" s="2" cm="1">
        <f t="array" ref="AG13">SUM($F$2:$F$59*($C$2:$C$59=$Q$5))</f>
        <v>43.772999999999996</v>
      </c>
      <c r="AH13" s="3">
        <f t="shared" si="3"/>
        <v>564.23397</v>
      </c>
      <c r="AI13" s="3">
        <v>17.25</v>
      </c>
      <c r="AJ13" s="2" cm="1">
        <f t="array" ref="AJ13">SUM($F$2:$F$59*($C$2:$C$59=$Q$6))</f>
        <v>0</v>
      </c>
      <c r="AK13" s="3">
        <f t="shared" si="4"/>
        <v>0</v>
      </c>
      <c r="AL13" s="3">
        <v>18.66</v>
      </c>
      <c r="AM13" s="2" cm="1">
        <f t="array" ref="AM13">SUM($F$2:$F$59*($C$2:$C$59=$Q$8))</f>
        <v>0</v>
      </c>
      <c r="AN13" s="3">
        <f t="shared" si="5"/>
        <v>0</v>
      </c>
      <c r="AO13" s="3">
        <f>SUM(J2:J59)</f>
        <v>1376.3100000000004</v>
      </c>
      <c r="AP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3483.5398020000002</v>
      </c>
      <c r="AQ13" s="3" cm="1">
        <f t="array" aca="1" ref="AQ13" ca="1">OFFSET(Table7[[#This Row],[Investment Increase]],0,-1)-SUM($J$2:$J$59*($E$2:$E$59=$Q$31))</f>
        <v>44.539802000000236</v>
      </c>
    </row>
    <row r="14" spans="1:48" x14ac:dyDescent="0.45">
      <c r="B14" s="1">
        <v>44141</v>
      </c>
      <c r="C14" s="7" t="s">
        <v>10</v>
      </c>
      <c r="D14">
        <v>316389105</v>
      </c>
      <c r="E14" t="s">
        <v>67</v>
      </c>
      <c r="F14" s="2">
        <v>-40.369</v>
      </c>
      <c r="G14" s="3">
        <v>14.06</v>
      </c>
      <c r="H14" s="3">
        <v>580</v>
      </c>
      <c r="J14" s="3">
        <v>600</v>
      </c>
      <c r="K14" t="s">
        <v>65</v>
      </c>
      <c r="L14" t="s">
        <v>24</v>
      </c>
      <c r="M14" t="s">
        <v>25</v>
      </c>
      <c r="N14" t="s">
        <v>66</v>
      </c>
      <c r="V14" s="9">
        <v>44727</v>
      </c>
      <c r="W14" s="3">
        <v>140.22999999999999</v>
      </c>
      <c r="X14" s="2" cm="1">
        <f t="array" ref="X14">SUM($F$2:$F$59*($C$2:$C$59=$Q$2))</f>
        <v>4.3230000000000004</v>
      </c>
      <c r="Y14" s="3">
        <f t="shared" si="0"/>
        <v>606.21429000000001</v>
      </c>
      <c r="Z14" s="3">
        <v>120.52</v>
      </c>
      <c r="AA14" s="2" cm="1">
        <f t="array" ref="AA14">SUM($F$2:$F$59*($C$2:$C$59=$Q$3))</f>
        <v>5.8720999999999997</v>
      </c>
      <c r="AB14" s="3">
        <f t="shared" si="1"/>
        <v>707.70549199999994</v>
      </c>
      <c r="AC14" s="3">
        <v>13.57</v>
      </c>
      <c r="AD14" s="2" cm="1">
        <f t="array" ref="AD14">SUM($F$2:$F$59*($C$2:$C$59=$Q$4))</f>
        <v>21.983000000000001</v>
      </c>
      <c r="AE14" s="3">
        <f t="shared" si="2"/>
        <v>298.30931000000004</v>
      </c>
      <c r="AF14" s="3">
        <v>13.33</v>
      </c>
      <c r="AG14" s="2" cm="1">
        <f t="array" ref="AG14">SUM($F$2:$F$59*($C$2:$C$59=$Q$5))</f>
        <v>43.772999999999996</v>
      </c>
      <c r="AH14" s="3">
        <f t="shared" si="3"/>
        <v>583.49408999999991</v>
      </c>
      <c r="AI14" s="3">
        <v>17.850000000000001</v>
      </c>
      <c r="AJ14" s="2" cm="1">
        <f t="array" ref="AJ14">SUM($F$2:$F$59*($C$2:$C$59=$Q$6))</f>
        <v>0</v>
      </c>
      <c r="AK14" s="3">
        <f t="shared" si="4"/>
        <v>0</v>
      </c>
      <c r="AL14" s="3">
        <v>19.350000000000001</v>
      </c>
      <c r="AM14" s="2" cm="1">
        <f t="array" ref="AM14">SUM($F$2:$F$59*($C$2:$C$59=$Q$8))</f>
        <v>0</v>
      </c>
      <c r="AN14" s="3">
        <f t="shared" si="5"/>
        <v>0</v>
      </c>
      <c r="AO14" s="3">
        <f>SUM(J2:J59)</f>
        <v>1376.3100000000004</v>
      </c>
      <c r="AP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3572.0331820000001</v>
      </c>
      <c r="AQ14" s="3" cm="1">
        <f t="array" aca="1" ref="AQ14" ca="1">OFFSET(Table7[[#This Row],[Investment Increase]],0,-1)-SUM($J$2:$J$59*($E$2:$E$59=$Q$31))</f>
        <v>133.03318200000012</v>
      </c>
    </row>
    <row r="15" spans="1:48" x14ac:dyDescent="0.45">
      <c r="B15" s="1">
        <v>44149</v>
      </c>
      <c r="C15" s="7" t="s">
        <v>8</v>
      </c>
      <c r="D15">
        <v>315912709</v>
      </c>
      <c r="E15" t="s">
        <v>9</v>
      </c>
      <c r="F15" s="2">
        <v>3.3580000000000001</v>
      </c>
      <c r="G15" s="3">
        <v>151.93</v>
      </c>
      <c r="J15" s="3">
        <v>-450</v>
      </c>
      <c r="K15" t="s">
        <v>65</v>
      </c>
      <c r="L15" t="s">
        <v>24</v>
      </c>
      <c r="M15" t="s">
        <v>25</v>
      </c>
      <c r="N15" t="s">
        <v>66</v>
      </c>
      <c r="V15" s="9">
        <v>44726</v>
      </c>
      <c r="W15" s="3">
        <v>136.81</v>
      </c>
      <c r="X15" s="2" cm="1">
        <f t="array" ref="X15">SUM($F$2:$F$59*($C$2:$C$59=$Q$2))</f>
        <v>4.3230000000000004</v>
      </c>
      <c r="Y15" s="3">
        <f t="shared" si="0"/>
        <v>591.42963000000009</v>
      </c>
      <c r="Z15" s="3">
        <v>117.58</v>
      </c>
      <c r="AA15" s="2" cm="1">
        <f t="array" ref="AA15">SUM($F$2:$F$59*($C$2:$C$59=$Q$3))</f>
        <v>5.8720999999999997</v>
      </c>
      <c r="AB15" s="3">
        <f t="shared" si="1"/>
        <v>690.44151799999997</v>
      </c>
      <c r="AC15" s="3">
        <v>13.3</v>
      </c>
      <c r="AD15" s="2" cm="1">
        <f t="array" ref="AD15">SUM($F$2:$F$59*($C$2:$C$59=$Q$4))</f>
        <v>21.983000000000001</v>
      </c>
      <c r="AE15" s="3">
        <f t="shared" si="2"/>
        <v>292.37390000000005</v>
      </c>
      <c r="AF15" s="3">
        <v>13.13</v>
      </c>
      <c r="AG15" s="2" cm="1">
        <f t="array" ref="AG15">SUM($F$2:$F$59*($C$2:$C$59=$Q$5))</f>
        <v>43.772999999999996</v>
      </c>
      <c r="AH15" s="3">
        <f t="shared" si="3"/>
        <v>574.73948999999993</v>
      </c>
      <c r="AI15" s="3">
        <v>17.63</v>
      </c>
      <c r="AJ15" s="2" cm="1">
        <f t="array" ref="AJ15">SUM($F$2:$F$59*($C$2:$C$59=$Q$6))</f>
        <v>0</v>
      </c>
      <c r="AK15" s="3">
        <f t="shared" si="4"/>
        <v>0</v>
      </c>
      <c r="AL15" s="3">
        <v>19.3</v>
      </c>
      <c r="AM15" s="2" cm="1">
        <f t="array" ref="AM15">SUM($F$2:$F$59*($C$2:$C$59=$Q$8))</f>
        <v>0</v>
      </c>
      <c r="AN15" s="3">
        <f t="shared" si="5"/>
        <v>0</v>
      </c>
      <c r="AO15" s="3">
        <f>SUM(J2:J59)</f>
        <v>1376.3100000000004</v>
      </c>
      <c r="AP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3525.2945380000006</v>
      </c>
      <c r="AQ15" s="3" cm="1">
        <f t="array" aca="1" ref="AQ15" ca="1">OFFSET(Table7[[#This Row],[Investment Increase]],0,-1)-SUM($J$2:$J$59*($E$2:$E$59=$Q$31))</f>
        <v>86.294538000000557</v>
      </c>
    </row>
    <row r="16" spans="1:48" x14ac:dyDescent="0.45">
      <c r="B16" s="1">
        <v>44149</v>
      </c>
      <c r="C16" s="7" t="s">
        <v>10</v>
      </c>
      <c r="D16">
        <v>316389105</v>
      </c>
      <c r="E16" t="s">
        <v>9</v>
      </c>
      <c r="F16" s="2">
        <v>12.315</v>
      </c>
      <c r="G16" s="3">
        <v>15</v>
      </c>
      <c r="J16" s="3">
        <v>-210</v>
      </c>
      <c r="K16" t="s">
        <v>65</v>
      </c>
      <c r="L16" t="s">
        <v>24</v>
      </c>
      <c r="M16" t="s">
        <v>25</v>
      </c>
      <c r="N16" t="s">
        <v>66</v>
      </c>
      <c r="V16" s="9">
        <v>44725</v>
      </c>
      <c r="W16" s="3">
        <v>136.55000000000001</v>
      </c>
      <c r="X16" s="2" cm="1">
        <f t="array" ref="X16">SUM($F$2:$F$59*($C$2:$C$59=$Q$2))</f>
        <v>4.3230000000000004</v>
      </c>
      <c r="Y16" s="3">
        <f t="shared" si="0"/>
        <v>590.30565000000013</v>
      </c>
      <c r="Z16" s="3">
        <v>117.31</v>
      </c>
      <c r="AA16" s="2" cm="1">
        <f t="array" ref="AA16">SUM($F$2:$F$59*($C$2:$C$59=$Q$3))</f>
        <v>5.8720999999999997</v>
      </c>
      <c r="AB16" s="3">
        <f t="shared" si="1"/>
        <v>688.85605099999998</v>
      </c>
      <c r="AC16" s="3">
        <v>13.26</v>
      </c>
      <c r="AD16" s="2" cm="1">
        <f t="array" ref="AD16">SUM($F$2:$F$59*($C$2:$C$59=$Q$4))</f>
        <v>21.983000000000001</v>
      </c>
      <c r="AE16" s="3">
        <f t="shared" si="2"/>
        <v>291.49457999999998</v>
      </c>
      <c r="AF16" s="3">
        <v>13.18</v>
      </c>
      <c r="AG16" s="2" cm="1">
        <f t="array" ref="AG16">SUM($F$2:$F$59*($C$2:$C$59=$Q$5))</f>
        <v>43.772999999999996</v>
      </c>
      <c r="AH16" s="3">
        <f t="shared" si="3"/>
        <v>576.92813999999998</v>
      </c>
      <c r="AI16" s="3">
        <v>17.66</v>
      </c>
      <c r="AJ16" s="2" cm="1">
        <f t="array" ref="AJ16">SUM($F$2:$F$59*($C$2:$C$59=$Q$6))</f>
        <v>0</v>
      </c>
      <c r="AK16" s="3">
        <f t="shared" si="4"/>
        <v>0</v>
      </c>
      <c r="AL16" s="3">
        <v>19.329999999999998</v>
      </c>
      <c r="AM16" s="2" cm="1">
        <f t="array" ref="AM16">SUM($F$2:$F$59*($C$2:$C$59=$Q$8))</f>
        <v>0</v>
      </c>
      <c r="AN16" s="3">
        <f t="shared" si="5"/>
        <v>0</v>
      </c>
      <c r="AO16" s="3">
        <f>SUM(J2:J59)</f>
        <v>1376.3100000000004</v>
      </c>
      <c r="AP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3523.8944210000004</v>
      </c>
      <c r="AQ16" s="3" cm="1">
        <f t="array" aca="1" ref="AQ16" ca="1">OFFSET(Table7[[#This Row],[Investment Increase]],0,-1)-SUM($J$2:$J$59*($E$2:$E$59=$Q$31))</f>
        <v>84.89442100000042</v>
      </c>
    </row>
    <row r="17" spans="1:43" x14ac:dyDescent="0.45">
      <c r="B17" s="1">
        <v>44164</v>
      </c>
      <c r="C17" s="8" t="s">
        <v>12</v>
      </c>
      <c r="D17">
        <v>316389303</v>
      </c>
      <c r="E17" t="s">
        <v>9</v>
      </c>
      <c r="F17" s="2">
        <v>1.327</v>
      </c>
      <c r="G17" s="3">
        <v>161.03</v>
      </c>
      <c r="J17" s="3">
        <v>-190</v>
      </c>
      <c r="K17" t="s">
        <v>65</v>
      </c>
      <c r="L17" t="s">
        <v>24</v>
      </c>
      <c r="M17" t="s">
        <v>25</v>
      </c>
      <c r="N17" t="s">
        <v>66</v>
      </c>
      <c r="V17" s="9">
        <v>44722</v>
      </c>
      <c r="W17" s="3">
        <v>143.24</v>
      </c>
      <c r="X17" s="2" cm="1">
        <f t="array" ref="X17">SUM($F$2:$F$59*($C$2:$C$59=$Q$2))</f>
        <v>4.3230000000000004</v>
      </c>
      <c r="Y17" s="3">
        <f t="shared" si="0"/>
        <v>619.22652000000005</v>
      </c>
      <c r="Z17" s="3">
        <v>123.82</v>
      </c>
      <c r="AA17" s="2" cm="1">
        <f t="array" ref="AA17">SUM($F$2:$F$59*($C$2:$C$59=$Q$3))</f>
        <v>5.8720999999999997</v>
      </c>
      <c r="AB17" s="3">
        <f t="shared" si="1"/>
        <v>727.08342199999993</v>
      </c>
      <c r="AC17" s="3">
        <v>13.88</v>
      </c>
      <c r="AD17" s="2" cm="1">
        <f t="array" ref="AD17">SUM($F$2:$F$59*($C$2:$C$59=$Q$4))</f>
        <v>21.983000000000001</v>
      </c>
      <c r="AE17" s="3">
        <f t="shared" si="2"/>
        <v>305.12404000000004</v>
      </c>
      <c r="AF17" s="3">
        <v>13.72</v>
      </c>
      <c r="AG17" s="2" cm="1">
        <f t="array" ref="AG17">SUM($F$2:$F$59*($C$2:$C$59=$Q$5))</f>
        <v>43.772999999999996</v>
      </c>
      <c r="AH17" s="3">
        <f t="shared" si="3"/>
        <v>600.56556</v>
      </c>
      <c r="AI17" s="3">
        <v>18.38</v>
      </c>
      <c r="AJ17" s="2" cm="1">
        <f t="array" ref="AJ17">SUM($F$2:$F$59*($C$2:$C$59=$Q$6))</f>
        <v>0</v>
      </c>
      <c r="AK17" s="3">
        <f t="shared" si="4"/>
        <v>0</v>
      </c>
      <c r="AL17" s="3">
        <v>20.21</v>
      </c>
      <c r="AM17" s="2" cm="1">
        <f t="array" ref="AM17">SUM($F$2:$F$59*($C$2:$C$59=$Q$8))</f>
        <v>0</v>
      </c>
      <c r="AN17" s="3">
        <f t="shared" si="5"/>
        <v>0</v>
      </c>
      <c r="AO17" s="3">
        <f>SUM(J2:J59)</f>
        <v>1376.3100000000004</v>
      </c>
      <c r="AP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3628.3095420000004</v>
      </c>
      <c r="AQ17" s="3" cm="1">
        <f t="array" aca="1" ref="AQ17" ca="1">OFFSET(Table7[[#This Row],[Investment Increase]],0,-1)-SUM($J$2:$J$59*($E$2:$E$59=$Q$31))</f>
        <v>189.30954200000042</v>
      </c>
    </row>
    <row r="18" spans="1:43" x14ac:dyDescent="0.45">
      <c r="B18" s="1">
        <v>44166</v>
      </c>
      <c r="C18" s="7" t="s">
        <v>11</v>
      </c>
      <c r="D18">
        <v>315911628</v>
      </c>
      <c r="E18" t="s">
        <v>15</v>
      </c>
      <c r="J18" s="3">
        <v>1.2</v>
      </c>
      <c r="V18" s="9">
        <v>44721</v>
      </c>
      <c r="W18" s="3">
        <v>148.47999999999999</v>
      </c>
      <c r="X18" s="2" cm="1">
        <f t="array" ref="X18">SUM($F$2:$F$59*($C$2:$C$59=$Q$2))</f>
        <v>4.3230000000000004</v>
      </c>
      <c r="Y18" s="3">
        <f t="shared" si="0"/>
        <v>641.87904000000003</v>
      </c>
      <c r="Z18" s="3">
        <v>128.84</v>
      </c>
      <c r="AA18" s="2" cm="1">
        <f t="array" ref="AA18">SUM($F$2:$F$59*($C$2:$C$59=$Q$3))</f>
        <v>5.8720999999999997</v>
      </c>
      <c r="AB18" s="3">
        <f t="shared" si="1"/>
        <v>756.56136400000003</v>
      </c>
      <c r="AC18" s="3">
        <v>14.36</v>
      </c>
      <c r="AD18" s="2" cm="1">
        <f t="array" ref="AD18">SUM($F$2:$F$59*($C$2:$C$59=$Q$4))</f>
        <v>21.983000000000001</v>
      </c>
      <c r="AE18" s="3">
        <f t="shared" si="2"/>
        <v>315.67588000000001</v>
      </c>
      <c r="AF18" s="3">
        <v>14.14</v>
      </c>
      <c r="AG18" s="2" cm="1">
        <f t="array" ref="AG18">SUM($F$2:$F$59*($C$2:$C$59=$Q$5))</f>
        <v>43.772999999999996</v>
      </c>
      <c r="AH18" s="3">
        <f t="shared" si="3"/>
        <v>618.95021999999994</v>
      </c>
      <c r="AI18" s="3">
        <v>18.940000000000001</v>
      </c>
      <c r="AJ18" s="2" cm="1">
        <f t="array" ref="AJ18">SUM($F$2:$F$59*($C$2:$C$59=$Q$6))</f>
        <v>0</v>
      </c>
      <c r="AK18" s="3">
        <f t="shared" si="4"/>
        <v>0</v>
      </c>
      <c r="AL18" s="3">
        <v>20.58</v>
      </c>
      <c r="AM18" s="2" cm="1">
        <f t="array" ref="AM18">SUM($F$2:$F$59*($C$2:$C$59=$Q$8))</f>
        <v>0</v>
      </c>
      <c r="AN18" s="3">
        <f t="shared" si="5"/>
        <v>0</v>
      </c>
      <c r="AO18" s="3">
        <f>SUM(J2:J59)</f>
        <v>1376.3100000000004</v>
      </c>
      <c r="AP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3709.3765040000003</v>
      </c>
      <c r="AQ18" s="3" cm="1">
        <f t="array" aca="1" ref="AQ18" ca="1">OFFSET(Table7[[#This Row],[Investment Increase]],0,-1)-SUM($J$2:$J$59*($E$2:$E$59=$Q$31))</f>
        <v>270.3765040000003</v>
      </c>
    </row>
    <row r="19" spans="1:43" x14ac:dyDescent="0.45">
      <c r="B19" s="1">
        <v>44170</v>
      </c>
      <c r="C19" s="7" t="s">
        <v>11</v>
      </c>
      <c r="D19">
        <v>315911628</v>
      </c>
      <c r="E19" t="s">
        <v>14</v>
      </c>
      <c r="F19" s="2">
        <v>0.106</v>
      </c>
      <c r="G19" s="3">
        <v>11.21</v>
      </c>
      <c r="J19" s="3">
        <v>-1.2</v>
      </c>
      <c r="V19" s="9">
        <v>44720</v>
      </c>
      <c r="W19" s="3">
        <v>152.65</v>
      </c>
      <c r="X19" s="2" cm="1">
        <f t="array" ref="X19">SUM($F$2:$F$59*($C$2:$C$59=$Q$2))</f>
        <v>4.3230000000000004</v>
      </c>
      <c r="Y19" s="3">
        <f t="shared" si="0"/>
        <v>659.90595000000008</v>
      </c>
      <c r="Z19" s="3">
        <v>132.63999999999999</v>
      </c>
      <c r="AA19" s="2" cm="1">
        <f t="array" ref="AA19">SUM($F$2:$F$59*($C$2:$C$59=$Q$3))</f>
        <v>5.8720999999999997</v>
      </c>
      <c r="AB19" s="3">
        <f t="shared" si="1"/>
        <v>778.87534399999993</v>
      </c>
      <c r="AC19" s="3">
        <v>14.77</v>
      </c>
      <c r="AD19" s="2" cm="1">
        <f t="array" ref="AD19">SUM($F$2:$F$59*($C$2:$C$59=$Q$4))</f>
        <v>21.983000000000001</v>
      </c>
      <c r="AE19" s="3">
        <f t="shared" si="2"/>
        <v>324.68891000000002</v>
      </c>
      <c r="AF19" s="3">
        <v>14.49</v>
      </c>
      <c r="AG19" s="2" cm="1">
        <f t="array" ref="AG19">SUM($F$2:$F$59*($C$2:$C$59=$Q$5))</f>
        <v>43.772999999999996</v>
      </c>
      <c r="AH19" s="3">
        <f t="shared" si="3"/>
        <v>634.27076999999997</v>
      </c>
      <c r="AI19" s="3">
        <v>19.39</v>
      </c>
      <c r="AJ19" s="2" cm="1">
        <f t="array" ref="AJ19">SUM($F$2:$F$59*($C$2:$C$59=$Q$6))</f>
        <v>0</v>
      </c>
      <c r="AK19" s="3">
        <f t="shared" si="4"/>
        <v>0</v>
      </c>
      <c r="AL19" s="3">
        <v>21.19</v>
      </c>
      <c r="AM19" s="2" cm="1">
        <f t="array" ref="AM19">SUM($F$2:$F$59*($C$2:$C$59=$Q$8))</f>
        <v>0</v>
      </c>
      <c r="AN19" s="3">
        <f t="shared" si="5"/>
        <v>0</v>
      </c>
      <c r="AO19" s="3">
        <f>SUM(J2:J59)</f>
        <v>1376.3100000000004</v>
      </c>
      <c r="AP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3774.0509740000002</v>
      </c>
      <c r="AQ19" s="3" cm="1">
        <f t="array" aca="1" ref="AQ19" ca="1">OFFSET(Table7[[#This Row],[Investment Increase]],0,-1)-SUM($J$2:$J$59*($E$2:$E$59=$Q$31))</f>
        <v>335.05097400000022</v>
      </c>
    </row>
    <row r="20" spans="1:43" x14ac:dyDescent="0.45">
      <c r="B20" s="1">
        <v>44185</v>
      </c>
      <c r="C20" s="7" t="s">
        <v>12</v>
      </c>
      <c r="D20">
        <v>316389303</v>
      </c>
      <c r="E20" t="s">
        <v>16</v>
      </c>
      <c r="J20" s="3">
        <v>11</v>
      </c>
      <c r="V20" s="9">
        <v>44719</v>
      </c>
      <c r="W20" s="3">
        <v>153.78</v>
      </c>
      <c r="X20" s="2" cm="1">
        <f t="array" ref="X20">SUM($F$2:$F$59*($C$2:$C$59=$Q$2))</f>
        <v>4.3230000000000004</v>
      </c>
      <c r="Y20" s="3">
        <f t="shared" si="0"/>
        <v>664.79094000000009</v>
      </c>
      <c r="Z20" s="3">
        <v>133.27000000000001</v>
      </c>
      <c r="AA20" s="2" cm="1">
        <f t="array" ref="AA20">SUM($F$2:$F$59*($C$2:$C$59=$Q$3))</f>
        <v>5.8720999999999997</v>
      </c>
      <c r="AB20" s="3">
        <f t="shared" si="1"/>
        <v>782.57476700000007</v>
      </c>
      <c r="AC20" s="3">
        <v>14.82</v>
      </c>
      <c r="AD20" s="2" cm="1">
        <f t="array" ref="AD20">SUM($F$2:$F$59*($C$2:$C$59=$Q$4))</f>
        <v>21.983000000000001</v>
      </c>
      <c r="AE20" s="3">
        <f t="shared" si="2"/>
        <v>325.78806000000003</v>
      </c>
      <c r="AF20" s="3">
        <v>14.65</v>
      </c>
      <c r="AG20" s="2" cm="1">
        <f t="array" ref="AG20">SUM($F$2:$F$59*($C$2:$C$59=$Q$5))</f>
        <v>43.772999999999996</v>
      </c>
      <c r="AH20" s="3">
        <f t="shared" si="3"/>
        <v>641.27445</v>
      </c>
      <c r="AI20" s="3">
        <v>19.61</v>
      </c>
      <c r="AJ20" s="2" cm="1">
        <f t="array" ref="AJ20">SUM($F$2:$F$59*($C$2:$C$59=$Q$6))</f>
        <v>0</v>
      </c>
      <c r="AK20" s="3">
        <f t="shared" si="4"/>
        <v>0</v>
      </c>
      <c r="AL20" s="3">
        <v>21.46</v>
      </c>
      <c r="AM20" s="2" cm="1">
        <f t="array" ref="AM20">SUM($F$2:$F$59*($C$2:$C$59=$Q$8))</f>
        <v>0</v>
      </c>
      <c r="AN20" s="3">
        <f t="shared" si="5"/>
        <v>0</v>
      </c>
      <c r="AO20" s="3">
        <f>SUM(J2:J59)</f>
        <v>1376.3100000000004</v>
      </c>
      <c r="AP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3790.7382170000005</v>
      </c>
      <c r="AQ20" s="3" cm="1">
        <f t="array" aca="1" ref="AQ20" ca="1">OFFSET(Table7[[#This Row],[Investment Increase]],0,-1)-SUM($J$2:$J$59*($E$2:$E$59=$Q$31))</f>
        <v>351.73821700000053</v>
      </c>
    </row>
    <row r="21" spans="1:43" x14ac:dyDescent="0.45">
      <c r="B21" s="1">
        <v>44185</v>
      </c>
      <c r="C21" s="7" t="s">
        <v>12</v>
      </c>
      <c r="D21">
        <v>316389303</v>
      </c>
      <c r="E21" t="s">
        <v>17</v>
      </c>
      <c r="J21" s="3">
        <v>0.92</v>
      </c>
      <c r="V21" s="9">
        <v>44718</v>
      </c>
      <c r="W21" s="3">
        <v>152.34</v>
      </c>
      <c r="X21" s="2" cm="1">
        <f t="array" ref="X21">SUM($F$2:$F$59*($C$2:$C$59=$Q$2))</f>
        <v>4.3230000000000004</v>
      </c>
      <c r="Y21" s="3">
        <f t="shared" si="0"/>
        <v>658.56582000000003</v>
      </c>
      <c r="Z21" s="3">
        <v>131.93</v>
      </c>
      <c r="AA21" s="2" cm="1">
        <f t="array" ref="AA21">SUM($F$2:$F$59*($C$2:$C$59=$Q$3))</f>
        <v>5.8720999999999997</v>
      </c>
      <c r="AB21" s="3">
        <f t="shared" si="1"/>
        <v>774.70615299999997</v>
      </c>
      <c r="AC21" s="3">
        <v>14.68</v>
      </c>
      <c r="AD21" s="2" cm="1">
        <f t="array" ref="AD21">SUM($F$2:$F$59*($C$2:$C$59=$Q$4))</f>
        <v>21.983000000000001</v>
      </c>
      <c r="AE21" s="3">
        <f t="shared" si="2"/>
        <v>322.71044000000001</v>
      </c>
      <c r="AF21" s="3">
        <v>14.5</v>
      </c>
      <c r="AG21" s="2" cm="1">
        <f t="array" ref="AG21">SUM($F$2:$F$59*($C$2:$C$59=$Q$5))</f>
        <v>43.772999999999996</v>
      </c>
      <c r="AH21" s="3">
        <f t="shared" si="3"/>
        <v>634.70849999999996</v>
      </c>
      <c r="AI21" s="3">
        <v>19.41</v>
      </c>
      <c r="AJ21" s="2" cm="1">
        <f t="array" ref="AJ21">SUM($F$2:$F$59*($C$2:$C$59=$Q$6))</f>
        <v>0</v>
      </c>
      <c r="AK21" s="3">
        <f t="shared" si="4"/>
        <v>0</v>
      </c>
      <c r="AL21" s="3">
        <v>21.17</v>
      </c>
      <c r="AM21" s="2" cm="1">
        <f t="array" ref="AM21">SUM($F$2:$F$59*($C$2:$C$59=$Q$8))</f>
        <v>0</v>
      </c>
      <c r="AN21" s="3">
        <f t="shared" si="5"/>
        <v>0</v>
      </c>
      <c r="AO21" s="3">
        <f>SUM(J2:J59)</f>
        <v>1376.3100000000004</v>
      </c>
      <c r="AP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3767.0009130000003</v>
      </c>
      <c r="AQ21" s="3" cm="1">
        <f t="array" aca="1" ref="AQ21" ca="1">OFFSET(Table7[[#This Row],[Investment Increase]],0,-1)-SUM($J$2:$J$59*($E$2:$E$59=$Q$31))</f>
        <v>328.00091300000031</v>
      </c>
    </row>
    <row r="22" spans="1:43" x14ac:dyDescent="0.45">
      <c r="B22" s="1">
        <v>44185</v>
      </c>
      <c r="C22" s="7" t="s">
        <v>12</v>
      </c>
      <c r="D22">
        <v>316389303</v>
      </c>
      <c r="E22" t="s">
        <v>14</v>
      </c>
      <c r="F22" s="2">
        <v>8.4000000000000005E-2</v>
      </c>
      <c r="G22" s="3">
        <v>150.31</v>
      </c>
      <c r="J22" s="3">
        <v>-11</v>
      </c>
      <c r="V22" s="9">
        <v>44715</v>
      </c>
      <c r="W22" s="3">
        <v>151.71</v>
      </c>
      <c r="X22" s="2" cm="1">
        <f t="array" ref="X22">SUM($F$2:$F$59*($C$2:$C$59=$Q$2))</f>
        <v>4.3230000000000004</v>
      </c>
      <c r="Y22" s="3">
        <f t="shared" si="0"/>
        <v>655.84233000000006</v>
      </c>
      <c r="Z22" s="3">
        <v>131.06</v>
      </c>
      <c r="AA22" s="2" cm="1">
        <f t="array" ref="AA22">SUM($F$2:$F$59*($C$2:$C$59=$Q$3))</f>
        <v>5.8720999999999997</v>
      </c>
      <c r="AB22" s="3">
        <f t="shared" si="1"/>
        <v>769.59742599999993</v>
      </c>
      <c r="AC22" s="3">
        <v>14.6</v>
      </c>
      <c r="AD22" s="2" cm="1">
        <f t="array" ref="AD22">SUM($F$2:$F$59*($C$2:$C$59=$Q$4))</f>
        <v>21.983000000000001</v>
      </c>
      <c r="AE22" s="3">
        <f t="shared" si="2"/>
        <v>320.95179999999999</v>
      </c>
      <c r="AF22" s="3">
        <v>14.46</v>
      </c>
      <c r="AG22" s="2" cm="1">
        <f t="array" ref="AG22">SUM($F$2:$F$59*($C$2:$C$59=$Q$5))</f>
        <v>43.772999999999996</v>
      </c>
      <c r="AH22" s="3">
        <f t="shared" si="3"/>
        <v>632.95758000000001</v>
      </c>
      <c r="AI22" s="3">
        <v>19.350000000000001</v>
      </c>
      <c r="AJ22" s="2" cm="1">
        <f t="array" ref="AJ22">SUM($F$2:$F$59*($C$2:$C$59=$Q$6))</f>
        <v>0</v>
      </c>
      <c r="AK22" s="3">
        <f t="shared" si="4"/>
        <v>0</v>
      </c>
      <c r="AL22" s="3">
        <v>21.13</v>
      </c>
      <c r="AM22" s="2" cm="1">
        <f t="array" ref="AM22">SUM($F$2:$F$59*($C$2:$C$59=$Q$8))</f>
        <v>0</v>
      </c>
      <c r="AN22" s="3">
        <f t="shared" si="5"/>
        <v>0</v>
      </c>
      <c r="AO22" s="3">
        <f>SUM(J2:J59)</f>
        <v>1376.3100000000004</v>
      </c>
      <c r="AP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3755.6591360000002</v>
      </c>
      <c r="AQ22" s="3" cm="1">
        <f t="array" aca="1" ref="AQ22" ca="1">OFFSET(Table7[[#This Row],[Investment Increase]],0,-1)-SUM($J$2:$J$59*($E$2:$E$59=$Q$31))</f>
        <v>316.65913600000022</v>
      </c>
    </row>
    <row r="23" spans="1:43" x14ac:dyDescent="0.45">
      <c r="B23" s="1">
        <v>44185</v>
      </c>
      <c r="C23" s="7" t="s">
        <v>10</v>
      </c>
      <c r="D23">
        <v>316389105</v>
      </c>
      <c r="E23" t="s">
        <v>16</v>
      </c>
      <c r="J23" s="3">
        <v>0.5</v>
      </c>
      <c r="V23" s="9">
        <v>44714</v>
      </c>
      <c r="W23" s="3">
        <v>155.55000000000001</v>
      </c>
      <c r="X23" s="2" cm="1">
        <f t="array" ref="X23">SUM($F$2:$F$59*($C$2:$C$59=$Q$2))</f>
        <v>4.3230000000000004</v>
      </c>
      <c r="Y23" s="3">
        <f t="shared" si="0"/>
        <v>672.44265000000007</v>
      </c>
      <c r="Z23" s="3">
        <v>134.44999999999999</v>
      </c>
      <c r="AA23" s="2" cm="1">
        <f t="array" ref="AA23">SUM($F$2:$F$59*($C$2:$C$59=$Q$3))</f>
        <v>5.8720999999999997</v>
      </c>
      <c r="AB23" s="3">
        <f t="shared" si="1"/>
        <v>789.50384499999984</v>
      </c>
      <c r="AC23" s="3">
        <v>14.89</v>
      </c>
      <c r="AD23" s="2" cm="1">
        <f t="array" ref="AD23">SUM($F$2:$F$59*($C$2:$C$59=$Q$4))</f>
        <v>21.983000000000001</v>
      </c>
      <c r="AE23" s="3">
        <f t="shared" si="2"/>
        <v>327.32687000000004</v>
      </c>
      <c r="AF23" s="3">
        <v>14.7</v>
      </c>
      <c r="AG23" s="2" cm="1">
        <f t="array" ref="AG23">SUM($F$2:$F$59*($C$2:$C$59=$Q$5))</f>
        <v>43.772999999999996</v>
      </c>
      <c r="AH23" s="3">
        <f t="shared" si="3"/>
        <v>643.46309999999994</v>
      </c>
      <c r="AI23" s="3">
        <v>19.63</v>
      </c>
      <c r="AJ23" s="2" cm="1">
        <f t="array" ref="AJ23">SUM($F$2:$F$59*($C$2:$C$59=$Q$6))</f>
        <v>0</v>
      </c>
      <c r="AK23" s="3">
        <f t="shared" si="4"/>
        <v>0</v>
      </c>
      <c r="AL23" s="3">
        <v>21.27</v>
      </c>
      <c r="AM23" s="2" cm="1">
        <f t="array" ref="AM23">SUM($F$2:$F$59*($C$2:$C$59=$Q$8))</f>
        <v>0</v>
      </c>
      <c r="AN23" s="3">
        <f t="shared" si="5"/>
        <v>0</v>
      </c>
      <c r="AO23" s="3">
        <f>SUM(J2:J59)</f>
        <v>1376.3100000000004</v>
      </c>
      <c r="AP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3809.0464650000004</v>
      </c>
      <c r="AQ23" s="3" cm="1">
        <f t="array" aca="1" ref="AQ23" ca="1">OFFSET(Table7[[#This Row],[Investment Increase]],0,-1)-SUM($J$2:$J$59*($E$2:$E$59=$Q$31))</f>
        <v>370.04646500000035</v>
      </c>
    </row>
    <row r="24" spans="1:43" x14ac:dyDescent="0.45">
      <c r="B24" s="1">
        <v>44185</v>
      </c>
      <c r="C24" s="7" t="s">
        <v>10</v>
      </c>
      <c r="D24">
        <v>316389105</v>
      </c>
      <c r="E24" t="s">
        <v>17</v>
      </c>
      <c r="J24" s="3">
        <v>0.02</v>
      </c>
      <c r="V24" s="9">
        <v>44713</v>
      </c>
      <c r="W24" s="3">
        <v>151.47</v>
      </c>
      <c r="X24" s="2" cm="1">
        <f t="array" ref="X24">SUM($F$2:$F$59*($C$2:$C$59=$Q$2))</f>
        <v>4.3230000000000004</v>
      </c>
      <c r="Y24" s="3">
        <f t="shared" si="0"/>
        <v>654.80481000000009</v>
      </c>
      <c r="Z24" s="3">
        <v>130.16999999999999</v>
      </c>
      <c r="AA24" s="2" cm="1">
        <f t="array" ref="AA24">SUM($F$2:$F$59*($C$2:$C$59=$Q$3))</f>
        <v>5.8720999999999997</v>
      </c>
      <c r="AB24" s="3">
        <f t="shared" si="1"/>
        <v>764.3712569999999</v>
      </c>
      <c r="AC24" s="3">
        <v>14.54</v>
      </c>
      <c r="AD24" s="2" cm="1">
        <f t="array" ref="AD24">SUM($F$2:$F$59*($C$2:$C$59=$Q$4))</f>
        <v>21.983000000000001</v>
      </c>
      <c r="AE24" s="3">
        <f t="shared" si="2"/>
        <v>319.63281999999998</v>
      </c>
      <c r="AF24" s="3">
        <v>14.41</v>
      </c>
      <c r="AG24" s="2" cm="1">
        <f t="array" ref="AG24">SUM($F$2:$F$59*($C$2:$C$59=$Q$5))</f>
        <v>43.772999999999996</v>
      </c>
      <c r="AH24" s="3">
        <f t="shared" si="3"/>
        <v>630.76892999999995</v>
      </c>
      <c r="AI24" s="3">
        <v>19.29</v>
      </c>
      <c r="AJ24" s="2" cm="1">
        <f t="array" ref="AJ24">SUM($F$2:$F$59*($C$2:$C$59=$Q$6))</f>
        <v>0</v>
      </c>
      <c r="AK24" s="3">
        <f t="shared" si="4"/>
        <v>0</v>
      </c>
      <c r="AL24" s="3">
        <v>20.94</v>
      </c>
      <c r="AM24" s="2" cm="1">
        <f t="array" ref="AM24">SUM($F$2:$F$59*($C$2:$C$59=$Q$8))</f>
        <v>0</v>
      </c>
      <c r="AN24" s="3">
        <f t="shared" si="5"/>
        <v>0</v>
      </c>
      <c r="AO24" s="3">
        <f>SUM(J2:J59)</f>
        <v>1376.3100000000004</v>
      </c>
      <c r="AP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3745.8878170000003</v>
      </c>
      <c r="AQ24" s="3" cm="1">
        <f t="array" aca="1" ref="AQ24" ca="1">OFFSET(Table7[[#This Row],[Investment Increase]],0,-1)-SUM($J$2:$J$59*($E$2:$E$59=$Q$31))</f>
        <v>306.88781700000027</v>
      </c>
    </row>
    <row r="25" spans="1:43" x14ac:dyDescent="0.45">
      <c r="B25" s="1">
        <v>44185</v>
      </c>
      <c r="C25" s="7" t="s">
        <v>10</v>
      </c>
      <c r="D25">
        <v>316389105</v>
      </c>
      <c r="E25" t="s">
        <v>14</v>
      </c>
      <c r="F25" s="2">
        <v>9.0999999999999998E-2</v>
      </c>
      <c r="G25" s="3">
        <v>16.21</v>
      </c>
      <c r="J25" s="3">
        <v>-1</v>
      </c>
      <c r="V25" s="9">
        <v>44712</v>
      </c>
      <c r="W25" s="3">
        <v>152.56</v>
      </c>
      <c r="X25" s="2" cm="1">
        <f t="array" ref="X25">SUM($F$2:$F$59*($C$2:$C$59=$Q$2))</f>
        <v>4.3230000000000004</v>
      </c>
      <c r="Y25" s="3">
        <f t="shared" si="0"/>
        <v>659.51688000000001</v>
      </c>
      <c r="Z25" s="3">
        <v>131.03</v>
      </c>
      <c r="AA25" s="2" cm="1">
        <f t="array" ref="AA25">SUM($F$2:$F$59*($C$2:$C$59=$Q$3))</f>
        <v>5.8720999999999997</v>
      </c>
      <c r="AB25" s="3">
        <f t="shared" si="1"/>
        <v>769.42126299999995</v>
      </c>
      <c r="AC25" s="3">
        <v>14.62</v>
      </c>
      <c r="AD25" s="2" cm="1">
        <f t="array" ref="AD25">SUM($F$2:$F$59*($C$2:$C$59=$Q$4))</f>
        <v>21.983000000000001</v>
      </c>
      <c r="AE25" s="3">
        <f t="shared" si="2"/>
        <v>321.39146</v>
      </c>
      <c r="AF25" s="3">
        <v>14.52</v>
      </c>
      <c r="AG25" s="2" cm="1">
        <f t="array" ref="AG25">SUM($F$2:$F$59*($C$2:$C$59=$Q$5))</f>
        <v>43.772999999999996</v>
      </c>
      <c r="AH25" s="3">
        <f t="shared" si="3"/>
        <v>635.58395999999993</v>
      </c>
      <c r="AI25" s="3">
        <v>19.41</v>
      </c>
      <c r="AJ25" s="2" cm="1">
        <f t="array" ref="AJ25">SUM($F$2:$F$59*($C$2:$C$59=$Q$6))</f>
        <v>0</v>
      </c>
      <c r="AK25" s="3">
        <f t="shared" si="4"/>
        <v>0</v>
      </c>
      <c r="AL25" s="3">
        <v>21.08</v>
      </c>
      <c r="AM25" s="2" cm="1">
        <f t="array" ref="AM25">SUM($F$2:$F$59*($C$2:$C$59=$Q$8))</f>
        <v>0</v>
      </c>
      <c r="AN25" s="3">
        <f t="shared" si="5"/>
        <v>0</v>
      </c>
      <c r="AO25" s="3">
        <f>SUM(J2:J59)</f>
        <v>1376.3100000000004</v>
      </c>
      <c r="AP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3762.2235630000005</v>
      </c>
      <c r="AQ25" s="3" cm="1">
        <f t="array" aca="1" ref="AQ25" ca="1">OFFSET(Table7[[#This Row],[Investment Increase]],0,-1)-SUM($J$2:$J$59*($E$2:$E$59=$Q$31))</f>
        <v>323.22356300000047</v>
      </c>
    </row>
    <row r="26" spans="1:43" x14ac:dyDescent="0.45">
      <c r="B26" s="1">
        <v>44185</v>
      </c>
      <c r="C26" s="7" t="s">
        <v>8</v>
      </c>
      <c r="D26">
        <v>315912709</v>
      </c>
      <c r="E26" t="s">
        <v>15</v>
      </c>
      <c r="J26" s="3">
        <v>4</v>
      </c>
      <c r="V26" s="9">
        <v>44708</v>
      </c>
      <c r="W26" s="3">
        <v>153.18</v>
      </c>
      <c r="X26" s="2" cm="1">
        <f t="array" ref="X26">SUM($F$2:$F$59*($C$2:$C$59=$Q$2))</f>
        <v>4.3230000000000004</v>
      </c>
      <c r="Y26" s="3">
        <f t="shared" si="0"/>
        <v>662.1971400000001</v>
      </c>
      <c r="Z26" s="3">
        <v>131.87</v>
      </c>
      <c r="AA26" s="2" cm="1">
        <f t="array" ref="AA26">SUM($F$2:$F$59*($C$2:$C$59=$Q$3))</f>
        <v>5.8720999999999997</v>
      </c>
      <c r="AB26" s="3">
        <f t="shared" si="1"/>
        <v>774.35382700000002</v>
      </c>
      <c r="AC26" s="3">
        <v>14.66</v>
      </c>
      <c r="AD26" s="2" cm="1">
        <f t="array" ref="AD26">SUM($F$2:$F$59*($C$2:$C$59=$Q$4))</f>
        <v>21.983000000000001</v>
      </c>
      <c r="AE26" s="3">
        <f t="shared" si="2"/>
        <v>322.27078</v>
      </c>
      <c r="AF26" s="3">
        <v>14.62</v>
      </c>
      <c r="AG26" s="2" cm="1">
        <f t="array" ref="AG26">SUM($F$2:$F$59*($C$2:$C$59=$Q$5))</f>
        <v>43.772999999999996</v>
      </c>
      <c r="AH26" s="3">
        <f t="shared" si="3"/>
        <v>639.96125999999992</v>
      </c>
      <c r="AI26" s="3">
        <v>19.54</v>
      </c>
      <c r="AJ26" s="2" cm="1">
        <f t="array" ref="AJ26">SUM($F$2:$F$59*($C$2:$C$59=$Q$6))</f>
        <v>0</v>
      </c>
      <c r="AK26" s="3">
        <f t="shared" si="4"/>
        <v>0</v>
      </c>
      <c r="AL26" s="3">
        <v>21.23</v>
      </c>
      <c r="AM26" s="2" cm="1">
        <f t="array" ref="AM26">SUM($F$2:$F$59*($C$2:$C$59=$Q$8))</f>
        <v>0</v>
      </c>
      <c r="AN26" s="3">
        <f t="shared" si="5"/>
        <v>0</v>
      </c>
      <c r="AO26" s="3">
        <f>SUM(J2:J59)</f>
        <v>1376.3100000000004</v>
      </c>
      <c r="AP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3775.0930070000004</v>
      </c>
      <c r="AQ26" s="3" cm="1">
        <f t="array" aca="1" ref="AQ26" ca="1">OFFSET(Table7[[#This Row],[Investment Increase]],0,-1)-SUM($J$2:$J$59*($E$2:$E$59=$Q$31))</f>
        <v>336.0930070000004</v>
      </c>
    </row>
    <row r="27" spans="1:43" x14ac:dyDescent="0.45">
      <c r="B27" s="1">
        <v>44185</v>
      </c>
      <c r="C27" s="7" t="s">
        <v>8</v>
      </c>
      <c r="D27">
        <v>315912709</v>
      </c>
      <c r="E27" t="s">
        <v>14</v>
      </c>
      <c r="F27" s="2">
        <v>4.2000000000000003E-2</v>
      </c>
      <c r="G27" s="3">
        <v>159.32</v>
      </c>
      <c r="J27" s="3">
        <v>-4</v>
      </c>
      <c r="V27" s="9">
        <v>44707</v>
      </c>
      <c r="W27" s="3">
        <v>148.24</v>
      </c>
      <c r="X27" s="2" cm="1">
        <f t="array" ref="X27">SUM($F$2:$F$59*($C$2:$C$59=$Q$2))</f>
        <v>4.3230000000000004</v>
      </c>
      <c r="Y27" s="3">
        <f t="shared" si="0"/>
        <v>640.84152000000006</v>
      </c>
      <c r="Z27" s="3">
        <v>127.62</v>
      </c>
      <c r="AA27" s="2" cm="1">
        <f t="array" ref="AA27">SUM($F$2:$F$59*($C$2:$C$59=$Q$3))</f>
        <v>5.8720999999999997</v>
      </c>
      <c r="AB27" s="3">
        <f t="shared" si="1"/>
        <v>749.39740199999994</v>
      </c>
      <c r="AC27" s="3">
        <v>14.24</v>
      </c>
      <c r="AD27" s="2" cm="1">
        <f t="array" ref="AD27">SUM($F$2:$F$59*($C$2:$C$59=$Q$4))</f>
        <v>21.983000000000001</v>
      </c>
      <c r="AE27" s="3">
        <f t="shared" si="2"/>
        <v>313.03791999999999</v>
      </c>
      <c r="AF27" s="3">
        <v>14.26</v>
      </c>
      <c r="AG27" s="2" cm="1">
        <f t="array" ref="AG27">SUM($F$2:$F$59*($C$2:$C$59=$Q$5))</f>
        <v>43.772999999999996</v>
      </c>
      <c r="AH27" s="3">
        <f t="shared" si="3"/>
        <v>624.20297999999991</v>
      </c>
      <c r="AI27" s="3">
        <v>19.059999999999999</v>
      </c>
      <c r="AJ27" s="2" cm="1">
        <f t="array" ref="AJ27">SUM($F$2:$F$59*($C$2:$C$59=$Q$6))</f>
        <v>0</v>
      </c>
      <c r="AK27" s="3">
        <f t="shared" si="4"/>
        <v>0</v>
      </c>
      <c r="AL27" s="3">
        <v>20.99</v>
      </c>
      <c r="AM27" s="2" cm="1">
        <f t="array" ref="AM27">SUM($F$2:$F$59*($C$2:$C$59=$Q$8))</f>
        <v>0</v>
      </c>
      <c r="AN27" s="3">
        <f t="shared" si="5"/>
        <v>0</v>
      </c>
      <c r="AO27" s="3">
        <f>SUM(J2:J59)</f>
        <v>1376.3100000000004</v>
      </c>
      <c r="AP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3703.7898220000002</v>
      </c>
      <c r="AQ27" s="3" cm="1">
        <f t="array" aca="1" ref="AQ27" ca="1">OFFSET(Table7[[#This Row],[Investment Increase]],0,-1)-SUM($J$2:$J$59*($E$2:$E$59=$Q$31))</f>
        <v>264.78982200000019</v>
      </c>
    </row>
    <row r="28" spans="1:43" x14ac:dyDescent="0.45">
      <c r="B28" s="1">
        <v>44271</v>
      </c>
      <c r="C28" t="s">
        <v>46</v>
      </c>
      <c r="E28" t="s">
        <v>7</v>
      </c>
      <c r="J28" s="3">
        <v>1639</v>
      </c>
      <c r="V28" s="9">
        <v>44706</v>
      </c>
      <c r="W28" s="3">
        <v>144.37</v>
      </c>
      <c r="X28" s="2" cm="1">
        <f t="array" ref="X28">SUM($F$2:$F$59*($C$2:$C$59=$Q$2))</f>
        <v>4.3230000000000004</v>
      </c>
      <c r="Y28" s="3">
        <f t="shared" si="0"/>
        <v>624.11151000000007</v>
      </c>
      <c r="Z28" s="3">
        <v>123.5</v>
      </c>
      <c r="AA28" s="2" cm="1">
        <f t="array" ref="AA28">SUM($F$2:$F$59*($C$2:$C$59=$Q$3))</f>
        <v>5.8720999999999997</v>
      </c>
      <c r="AB28" s="3">
        <f t="shared" si="1"/>
        <v>725.20434999999998</v>
      </c>
      <c r="AC28" s="3">
        <v>13.89</v>
      </c>
      <c r="AD28" s="2" cm="1">
        <f t="array" ref="AD28">SUM($F$2:$F$59*($C$2:$C$59=$Q$4))</f>
        <v>21.983000000000001</v>
      </c>
      <c r="AE28" s="3">
        <f t="shared" si="2"/>
        <v>305.34387000000004</v>
      </c>
      <c r="AF28" s="3">
        <v>13.97</v>
      </c>
      <c r="AG28" s="2" cm="1">
        <f t="array" ref="AG28">SUM($F$2:$F$59*($C$2:$C$59=$Q$5))</f>
        <v>43.772999999999996</v>
      </c>
      <c r="AH28" s="3">
        <f t="shared" si="3"/>
        <v>611.50880999999993</v>
      </c>
      <c r="AI28" s="3">
        <v>18.71</v>
      </c>
      <c r="AJ28" s="2" cm="1">
        <f t="array" ref="AJ28">SUM($F$2:$F$59*($C$2:$C$59=$Q$6))</f>
        <v>0</v>
      </c>
      <c r="AK28" s="3">
        <f t="shared" si="4"/>
        <v>0</v>
      </c>
      <c r="AL28" s="3">
        <v>20.83</v>
      </c>
      <c r="AM28" s="2" cm="1">
        <f t="array" ref="AM28">SUM($F$2:$F$59*($C$2:$C$59=$Q$8))</f>
        <v>0</v>
      </c>
      <c r="AN28" s="3">
        <f t="shared" si="5"/>
        <v>0</v>
      </c>
      <c r="AO28" s="3">
        <f>SUM(J2:J59)</f>
        <v>1376.3100000000004</v>
      </c>
      <c r="AP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3642.4785400000005</v>
      </c>
      <c r="AQ28" s="3" cm="1">
        <f t="array" aca="1" ref="AQ28" ca="1">OFFSET(Table7[[#This Row],[Investment Increase]],0,-1)-SUM($J$2:$J$59*($E$2:$E$59=$Q$31))</f>
        <v>203.47854000000052</v>
      </c>
    </row>
    <row r="29" spans="1:43" x14ac:dyDescent="0.45">
      <c r="B29" s="1">
        <v>44307</v>
      </c>
      <c r="C29" t="s">
        <v>11</v>
      </c>
      <c r="D29">
        <v>315911628</v>
      </c>
      <c r="E29" t="s">
        <v>9</v>
      </c>
      <c r="F29" s="2">
        <v>8.0310000000000006</v>
      </c>
      <c r="G29" s="3">
        <v>14.21</v>
      </c>
      <c r="J29" s="3">
        <v>-120</v>
      </c>
      <c r="K29" t="s">
        <v>65</v>
      </c>
      <c r="L29" t="s">
        <v>24</v>
      </c>
      <c r="M29" t="s">
        <v>25</v>
      </c>
      <c r="N29" t="s">
        <v>66</v>
      </c>
      <c r="V29" s="9">
        <v>44705</v>
      </c>
      <c r="W29" s="3">
        <v>142.22</v>
      </c>
      <c r="X29" s="2" cm="1">
        <f t="array" ref="X29">SUM($F$2:$F$59*($C$2:$C$59=$Q$2))</f>
        <v>4.3230000000000004</v>
      </c>
      <c r="Y29" s="3">
        <f t="shared" si="0"/>
        <v>614.81706000000008</v>
      </c>
      <c r="Z29" s="3">
        <v>120.98</v>
      </c>
      <c r="AA29" s="2" cm="1">
        <f t="array" ref="AA29">SUM($F$2:$F$59*($C$2:$C$59=$Q$3))</f>
        <v>5.8720999999999997</v>
      </c>
      <c r="AB29" s="3">
        <f t="shared" si="1"/>
        <v>710.40665799999999</v>
      </c>
      <c r="AC29" s="3">
        <v>13.72</v>
      </c>
      <c r="AD29" s="2" cm="1">
        <f t="array" ref="AD29">SUM($F$2:$F$59*($C$2:$C$59=$Q$4))</f>
        <v>21.983000000000001</v>
      </c>
      <c r="AE29" s="3">
        <f t="shared" si="2"/>
        <v>301.60676000000001</v>
      </c>
      <c r="AF29" s="3">
        <v>13.83</v>
      </c>
      <c r="AG29" s="2" cm="1">
        <f t="array" ref="AG29">SUM($F$2:$F$59*($C$2:$C$59=$Q$5))</f>
        <v>43.772999999999996</v>
      </c>
      <c r="AH29" s="3">
        <f t="shared" si="3"/>
        <v>605.38058999999998</v>
      </c>
      <c r="AI29" s="3">
        <v>18.53</v>
      </c>
      <c r="AJ29" s="2" cm="1">
        <f t="array" ref="AJ29">SUM($F$2:$F$59*($C$2:$C$59=$Q$6))</f>
        <v>0</v>
      </c>
      <c r="AK29" s="3">
        <f t="shared" si="4"/>
        <v>0</v>
      </c>
      <c r="AL29" s="3">
        <v>20.58</v>
      </c>
      <c r="AM29" s="2" cm="1">
        <f t="array" ref="AM29">SUM($F$2:$F$59*($C$2:$C$59=$Q$8))</f>
        <v>0</v>
      </c>
      <c r="AN29" s="3">
        <f t="shared" si="5"/>
        <v>0</v>
      </c>
      <c r="AO29" s="3">
        <f>SUM(J2:J59)</f>
        <v>1376.3100000000004</v>
      </c>
      <c r="AP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3608.5210680000009</v>
      </c>
      <c r="AQ29" s="3" cm="1">
        <f t="array" aca="1" ref="AQ29" ca="1">OFFSET(Table7[[#This Row],[Investment Increase]],0,-1)-SUM($J$2:$J$59*($E$2:$E$59=$Q$31))</f>
        <v>169.52106800000092</v>
      </c>
    </row>
    <row r="30" spans="1:43" x14ac:dyDescent="0.45">
      <c r="B30" s="1">
        <v>44307</v>
      </c>
      <c r="C30" t="s">
        <v>8</v>
      </c>
      <c r="D30">
        <v>315912709</v>
      </c>
      <c r="E30" t="s">
        <v>9</v>
      </c>
      <c r="F30" s="2">
        <v>1.2</v>
      </c>
      <c r="G30" s="3">
        <v>181.02</v>
      </c>
      <c r="J30" s="3">
        <v>-125</v>
      </c>
      <c r="K30" t="s">
        <v>65</v>
      </c>
      <c r="L30" t="s">
        <v>24</v>
      </c>
      <c r="M30" t="s">
        <v>25</v>
      </c>
      <c r="N30" t="s">
        <v>66</v>
      </c>
      <c r="V30" s="9">
        <v>44704</v>
      </c>
      <c r="W30" s="3">
        <v>145.63</v>
      </c>
      <c r="X30" s="2" cm="1">
        <f t="array" ref="X30">SUM($F$2:$F$59*($C$2:$C$59=$Q$2))</f>
        <v>4.3230000000000004</v>
      </c>
      <c r="Y30" s="3">
        <f t="shared" si="0"/>
        <v>629.55849000000001</v>
      </c>
      <c r="Z30" s="3">
        <v>125.44</v>
      </c>
      <c r="AA30" s="2" cm="1">
        <f t="array" ref="AA30">SUM($F$2:$F$59*($C$2:$C$59=$Q$3))</f>
        <v>5.8720999999999997</v>
      </c>
      <c r="AB30" s="3">
        <f t="shared" si="1"/>
        <v>736.59622399999989</v>
      </c>
      <c r="AC30" s="3">
        <v>14.09</v>
      </c>
      <c r="AD30" s="2" cm="1">
        <f t="array" ref="AD30">SUM($F$2:$F$59*($C$2:$C$59=$Q$4))</f>
        <v>21.983000000000001</v>
      </c>
      <c r="AE30" s="3">
        <f t="shared" si="2"/>
        <v>309.74047000000002</v>
      </c>
      <c r="AF30" s="3">
        <v>13.97</v>
      </c>
      <c r="AG30" s="2" cm="1">
        <f t="array" ref="AG30">SUM($F$2:$F$59*($C$2:$C$59=$Q$5))</f>
        <v>43.772999999999996</v>
      </c>
      <c r="AH30" s="3">
        <f t="shared" si="3"/>
        <v>611.50880999999993</v>
      </c>
      <c r="AI30" s="3">
        <v>18.68</v>
      </c>
      <c r="AJ30" s="2" cm="1">
        <f t="array" ref="AJ30">SUM($F$2:$F$59*($C$2:$C$59=$Q$6))</f>
        <v>0</v>
      </c>
      <c r="AK30" s="3">
        <f t="shared" si="4"/>
        <v>0</v>
      </c>
      <c r="AL30" s="3">
        <v>20.57</v>
      </c>
      <c r="AM30" s="2" cm="1">
        <f t="array" ref="AM30">SUM($F$2:$F$59*($C$2:$C$59=$Q$8))</f>
        <v>0</v>
      </c>
      <c r="AN30" s="3">
        <f t="shared" si="5"/>
        <v>0</v>
      </c>
      <c r="AO30" s="3">
        <f>SUM(J2:J59)</f>
        <v>1376.3100000000004</v>
      </c>
      <c r="AP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3663.7139940000002</v>
      </c>
      <c r="AQ30" s="3" cm="1">
        <f t="array" aca="1" ref="AQ30" ca="1">OFFSET(Table7[[#This Row],[Investment Increase]],0,-1)-SUM($J$2:$J$59*($E$2:$E$59=$Q$31))</f>
        <v>224.71399400000018</v>
      </c>
    </row>
    <row r="31" spans="1:43" x14ac:dyDescent="0.45">
      <c r="A31" s="1">
        <v>44306</v>
      </c>
      <c r="B31" s="1">
        <v>44309</v>
      </c>
      <c r="C31" t="s">
        <v>12</v>
      </c>
      <c r="D31">
        <v>316389303</v>
      </c>
      <c r="E31" s="2" t="s">
        <v>9</v>
      </c>
      <c r="F31" s="2">
        <v>3.9</v>
      </c>
      <c r="G31" s="3">
        <v>163.92</v>
      </c>
      <c r="J31" s="3">
        <v>-600</v>
      </c>
      <c r="K31" t="s">
        <v>65</v>
      </c>
      <c r="L31" t="s">
        <v>24</v>
      </c>
      <c r="M31" t="s">
        <v>25</v>
      </c>
      <c r="N31" t="s">
        <v>66</v>
      </c>
      <c r="Q31" t="s">
        <v>7</v>
      </c>
      <c r="R31" s="16" cm="1">
        <f t="array" ref="R31">SUM($J$2:$J$500*($E$2:$E$500=$Q$31))</f>
        <v>3439</v>
      </c>
      <c r="V31" s="9">
        <v>44701</v>
      </c>
      <c r="W31" s="3">
        <v>143.34</v>
      </c>
      <c r="X31" s="2" cm="1">
        <f t="array" ref="X31">SUM($F$2:$F$59*($C$2:$C$59=$Q$2))</f>
        <v>4.3230000000000004</v>
      </c>
      <c r="Y31" s="3">
        <f t="shared" si="0"/>
        <v>619.65882000000011</v>
      </c>
      <c r="Z31" s="3">
        <v>123.47</v>
      </c>
      <c r="AA31" s="2" cm="1">
        <f t="array" ref="AA31">SUM($F$2:$F$59*($C$2:$C$59=$Q$3))</f>
        <v>5.8720999999999997</v>
      </c>
      <c r="AB31" s="3">
        <f t="shared" si="1"/>
        <v>725.028187</v>
      </c>
      <c r="AC31" s="3">
        <v>13.85</v>
      </c>
      <c r="AD31" s="2" cm="1">
        <f t="array" ref="AD31">SUM($F$2:$F$59*($C$2:$C$59=$Q$4))</f>
        <v>21.983000000000001</v>
      </c>
      <c r="AE31" s="3">
        <f t="shared" si="2"/>
        <v>304.46454999999997</v>
      </c>
      <c r="AF31" s="3">
        <v>13.72</v>
      </c>
      <c r="AG31" s="2" cm="1">
        <f t="array" ref="AG31">SUM($F$2:$F$59*($C$2:$C$59=$Q$5))</f>
        <v>43.772999999999996</v>
      </c>
      <c r="AH31" s="3">
        <f t="shared" si="3"/>
        <v>600.56556</v>
      </c>
      <c r="AI31" s="3">
        <v>18.309999999999999</v>
      </c>
      <c r="AJ31" s="2" cm="1">
        <f t="array" ref="AJ31">SUM($F$2:$F$59*($C$2:$C$59=$Q$6))</f>
        <v>0</v>
      </c>
      <c r="AK31" s="3">
        <f t="shared" si="4"/>
        <v>0</v>
      </c>
      <c r="AL31" s="3">
        <v>19.98</v>
      </c>
      <c r="AM31" s="2" cm="1">
        <f t="array" ref="AM31">SUM($F$2:$F$59*($C$2:$C$59=$Q$8))</f>
        <v>0</v>
      </c>
      <c r="AN31" s="3">
        <f t="shared" si="5"/>
        <v>0</v>
      </c>
      <c r="AO31" s="3">
        <f>SUM(J2:J59)</f>
        <v>1376.3100000000004</v>
      </c>
      <c r="AP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3626.0271170000005</v>
      </c>
      <c r="AQ31" s="3" cm="1">
        <f t="array" aca="1" ref="AQ31" ca="1">OFFSET(Table7[[#This Row],[Investment Increase]],0,-1)-SUM($J$2:$J$59*($E$2:$E$59=$Q$31))</f>
        <v>187.02711700000054</v>
      </c>
    </row>
    <row r="32" spans="1:43" x14ac:dyDescent="0.45">
      <c r="B32" s="1">
        <v>44308</v>
      </c>
      <c r="C32" t="s">
        <v>46</v>
      </c>
      <c r="D32" t="s">
        <v>44</v>
      </c>
      <c r="E32" t="s">
        <v>15</v>
      </c>
      <c r="J32" s="3">
        <v>0.01</v>
      </c>
      <c r="Q32" t="s">
        <v>51</v>
      </c>
      <c r="R32" s="16">
        <f>T12</f>
        <v>3593.7934410000007</v>
      </c>
      <c r="V32" s="9">
        <v>44700</v>
      </c>
      <c r="W32" s="3">
        <v>143.75</v>
      </c>
      <c r="X32" s="2" cm="1">
        <f t="array" ref="X32">SUM($F$2:$F$59*($C$2:$C$59=$Q$2))</f>
        <v>4.3230000000000004</v>
      </c>
      <c r="Y32" s="3">
        <f t="shared" si="0"/>
        <v>621.43125000000009</v>
      </c>
      <c r="Z32" s="3">
        <v>124.08</v>
      </c>
      <c r="AA32" s="2" cm="1">
        <f t="array" ref="AA32">SUM($F$2:$F$59*($C$2:$C$59=$Q$3))</f>
        <v>5.8720999999999997</v>
      </c>
      <c r="AB32" s="3">
        <f t="shared" si="1"/>
        <v>728.61016799999993</v>
      </c>
      <c r="AC32" s="3">
        <v>13.84</v>
      </c>
      <c r="AD32" s="2" cm="1">
        <f t="array" ref="AD32">SUM($F$2:$F$59*($C$2:$C$59=$Q$4))</f>
        <v>21.983000000000001</v>
      </c>
      <c r="AE32" s="3">
        <f t="shared" si="2"/>
        <v>304.24472000000003</v>
      </c>
      <c r="AF32" s="3">
        <v>13.71</v>
      </c>
      <c r="AG32" s="2" cm="1">
        <f t="array" ref="AG32">SUM($F$2:$F$59*($C$2:$C$59=$Q$5))</f>
        <v>43.772999999999996</v>
      </c>
      <c r="AH32" s="3">
        <f t="shared" si="3"/>
        <v>600.12783000000002</v>
      </c>
      <c r="AI32" s="3">
        <v>18.3</v>
      </c>
      <c r="AJ32" s="2" cm="1">
        <f t="array" ref="AJ32">SUM($F$2:$F$59*($C$2:$C$59=$Q$6))</f>
        <v>0</v>
      </c>
      <c r="AK32" s="3">
        <f t="shared" si="4"/>
        <v>0</v>
      </c>
      <c r="AL32" s="3">
        <v>20.04</v>
      </c>
      <c r="AM32" s="2" cm="1">
        <f t="array" ref="AM32">SUM($F$2:$F$59*($C$2:$C$59=$Q$8))</f>
        <v>0</v>
      </c>
      <c r="AN32" s="3">
        <f t="shared" si="5"/>
        <v>0</v>
      </c>
      <c r="AO32" s="3">
        <f>SUM(J2:J59)</f>
        <v>1376.3100000000004</v>
      </c>
      <c r="AP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3630.7239680000002</v>
      </c>
      <c r="AQ32" s="3" cm="1">
        <f t="array" aca="1" ref="AQ32" ca="1">OFFSET(Table7[[#This Row],[Investment Increase]],0,-1)-SUM($J$2:$J$59*($E$2:$E$59=$Q$31))</f>
        <v>191.72396800000024</v>
      </c>
    </row>
    <row r="33" spans="1:43" x14ac:dyDescent="0.45">
      <c r="A33" s="1">
        <v>44331</v>
      </c>
      <c r="B33" s="1">
        <v>44333</v>
      </c>
      <c r="C33" t="s">
        <v>10</v>
      </c>
      <c r="D33">
        <v>316389105</v>
      </c>
      <c r="E33" t="s">
        <v>47</v>
      </c>
      <c r="F33" s="2">
        <v>-4.9989999999999997</v>
      </c>
      <c r="G33" s="3">
        <v>17.3</v>
      </c>
      <c r="H33" s="3">
        <v>88.17</v>
      </c>
      <c r="J33" s="3">
        <v>120</v>
      </c>
      <c r="K33" t="s">
        <v>65</v>
      </c>
      <c r="L33" t="s">
        <v>24</v>
      </c>
      <c r="M33" t="s">
        <v>25</v>
      </c>
      <c r="N33" t="s">
        <v>66</v>
      </c>
      <c r="Q33" t="s">
        <v>52</v>
      </c>
      <c r="R33" s="16">
        <f ca="1">AQ2</f>
        <v>154.79344100000071</v>
      </c>
      <c r="V33" s="9">
        <v>44699</v>
      </c>
      <c r="W33" s="3">
        <v>144.08000000000001</v>
      </c>
      <c r="X33" s="2" cm="1">
        <f t="array" ref="X33">SUM($F$2:$F$59*($C$2:$C$59=$Q$2))</f>
        <v>4.3230000000000004</v>
      </c>
      <c r="Y33" s="3">
        <f t="shared" si="0"/>
        <v>622.85784000000012</v>
      </c>
      <c r="Z33" s="3">
        <v>123.81</v>
      </c>
      <c r="AA33" s="2" cm="1">
        <f t="array" ref="AA33">SUM($F$2:$F$59*($C$2:$C$59=$Q$3))</f>
        <v>5.8720999999999997</v>
      </c>
      <c r="AB33" s="3">
        <f t="shared" si="1"/>
        <v>727.02470099999994</v>
      </c>
      <c r="AC33" s="3">
        <v>13.86</v>
      </c>
      <c r="AD33" s="2" cm="1">
        <f t="array" ref="AD33">SUM($F$2:$F$59*($C$2:$C$59=$Q$4))</f>
        <v>21.983000000000001</v>
      </c>
      <c r="AE33" s="3">
        <f t="shared" si="2"/>
        <v>304.68437999999998</v>
      </c>
      <c r="AF33" s="3">
        <v>13.77</v>
      </c>
      <c r="AG33" s="2" cm="1">
        <f t="array" ref="AG33">SUM($F$2:$F$59*($C$2:$C$59=$Q$5))</f>
        <v>43.772999999999996</v>
      </c>
      <c r="AH33" s="3">
        <f t="shared" si="3"/>
        <v>602.75420999999994</v>
      </c>
      <c r="AI33" s="3">
        <v>18.399999999999999</v>
      </c>
      <c r="AJ33" s="2" cm="1">
        <f t="array" ref="AJ33">SUM($F$2:$F$59*($C$2:$C$59=$Q$6))</f>
        <v>0</v>
      </c>
      <c r="AK33" s="3">
        <f t="shared" si="4"/>
        <v>0</v>
      </c>
      <c r="AL33" s="3">
        <v>19.84</v>
      </c>
      <c r="AM33" s="2" cm="1">
        <f t="array" ref="AM33">SUM($F$2:$F$59*($C$2:$C$59=$Q$8))</f>
        <v>0</v>
      </c>
      <c r="AN33" s="3">
        <f t="shared" si="5"/>
        <v>0</v>
      </c>
      <c r="AO33" s="3">
        <f>SUM(J2:J59)</f>
        <v>1376.3100000000004</v>
      </c>
      <c r="AP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3633.6311310000001</v>
      </c>
      <c r="AQ33" s="3" cm="1">
        <f t="array" aca="1" ref="AQ33" ca="1">OFFSET(Table7[[#This Row],[Investment Increase]],0,-1)-SUM($J$2:$J$59*($E$2:$E$59=$Q$31))</f>
        <v>194.6311310000001</v>
      </c>
    </row>
    <row r="34" spans="1:43" x14ac:dyDescent="0.45">
      <c r="A34" s="1">
        <v>44331</v>
      </c>
      <c r="B34" s="1">
        <v>44333</v>
      </c>
      <c r="C34" t="s">
        <v>8</v>
      </c>
      <c r="D34">
        <v>315912709</v>
      </c>
      <c r="E34" t="s">
        <v>48</v>
      </c>
      <c r="F34" s="2">
        <v>-3.1019999999999999</v>
      </c>
      <c r="G34" s="3">
        <v>151.21</v>
      </c>
      <c r="H34" s="3">
        <v>352.44</v>
      </c>
      <c r="J34" s="3">
        <v>410</v>
      </c>
      <c r="K34" t="s">
        <v>65</v>
      </c>
      <c r="L34" t="s">
        <v>24</v>
      </c>
      <c r="M34" t="s">
        <v>25</v>
      </c>
      <c r="N34" t="s">
        <v>66</v>
      </c>
      <c r="Q34" t="s">
        <v>53</v>
      </c>
      <c r="R34" s="17">
        <f ca="1">(R33/R31)</f>
        <v>4.5011177958709132E-2</v>
      </c>
      <c r="V34" s="9">
        <v>44698</v>
      </c>
      <c r="W34" s="3">
        <v>151.22999999999999</v>
      </c>
      <c r="X34" s="2" cm="1">
        <f t="array" ref="X34">SUM($F$2:$F$59*($C$2:$C$59=$Q$2))</f>
        <v>4.3230000000000004</v>
      </c>
      <c r="Y34" s="3">
        <f t="shared" si="0"/>
        <v>653.76729</v>
      </c>
      <c r="Z34" s="3">
        <v>130.36000000000001</v>
      </c>
      <c r="AA34" s="2" cm="1">
        <f t="array" ref="AA34">SUM($F$2:$F$59*($C$2:$C$59=$Q$3))</f>
        <v>5.8720999999999997</v>
      </c>
      <c r="AB34" s="3">
        <f t="shared" si="1"/>
        <v>765.48695600000008</v>
      </c>
      <c r="AC34" s="3">
        <v>14.48</v>
      </c>
      <c r="AD34" s="2" cm="1">
        <f t="array" ref="AD34">SUM($F$2:$F$59*($C$2:$C$59=$Q$4))</f>
        <v>21.983000000000001</v>
      </c>
      <c r="AE34" s="3">
        <f t="shared" si="2"/>
        <v>318.31384000000003</v>
      </c>
      <c r="AF34" s="3">
        <v>14.35</v>
      </c>
      <c r="AG34" s="2" cm="1">
        <f t="array" ref="AG34">SUM($F$2:$F$59*($C$2:$C$59=$Q$5))</f>
        <v>43.772999999999996</v>
      </c>
      <c r="AH34" s="3">
        <f t="shared" si="3"/>
        <v>628.14254999999991</v>
      </c>
      <c r="AI34" s="3">
        <v>19.170000000000002</v>
      </c>
      <c r="AJ34" s="2" cm="1">
        <f t="array" ref="AJ34">SUM($F$2:$F$59*($C$2:$C$59=$Q$6))</f>
        <v>0</v>
      </c>
      <c r="AK34" s="3">
        <f t="shared" si="4"/>
        <v>0</v>
      </c>
      <c r="AL34" s="3">
        <v>20.49</v>
      </c>
      <c r="AM34" s="2" cm="1">
        <f t="array" ref="AM34">SUM($F$2:$F$59*($C$2:$C$59=$Q$8))</f>
        <v>0</v>
      </c>
      <c r="AN34" s="3">
        <f t="shared" si="5"/>
        <v>0</v>
      </c>
      <c r="AO34" s="3">
        <f>SUM(J2:J59)</f>
        <v>1376.3100000000004</v>
      </c>
      <c r="AP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3742.0206360000002</v>
      </c>
      <c r="AQ34" s="3" cm="1">
        <f t="array" aca="1" ref="AQ34" ca="1">OFFSET(Table7[[#This Row],[Investment Increase]],0,-1)-SUM($J$2:$J$59*($E$2:$E$59=$Q$31))</f>
        <v>303.0206360000002</v>
      </c>
    </row>
    <row r="35" spans="1:43" x14ac:dyDescent="0.45">
      <c r="A35" s="1">
        <v>44331</v>
      </c>
      <c r="B35" s="1">
        <v>44333</v>
      </c>
      <c r="C35" t="s">
        <v>12</v>
      </c>
      <c r="D35">
        <v>316389303</v>
      </c>
      <c r="E35" t="s">
        <v>49</v>
      </c>
      <c r="F35" s="2">
        <v>-2.5920000000000001</v>
      </c>
      <c r="G35" s="3">
        <v>178.2</v>
      </c>
      <c r="H35" s="3">
        <v>435.02</v>
      </c>
      <c r="J35" s="3">
        <v>540</v>
      </c>
      <c r="K35" t="s">
        <v>65</v>
      </c>
      <c r="L35" t="s">
        <v>24</v>
      </c>
      <c r="M35" t="s">
        <v>25</v>
      </c>
      <c r="N35" t="s">
        <v>66</v>
      </c>
      <c r="V35" s="9">
        <v>44697</v>
      </c>
      <c r="W35" s="3">
        <v>147.16999999999999</v>
      </c>
      <c r="X35" s="2" cm="1">
        <f t="array" ref="X35">SUM($F$2:$F$59*($C$2:$C$59=$Q$2))</f>
        <v>4.3230000000000004</v>
      </c>
      <c r="Y35" s="3">
        <f t="shared" si="0"/>
        <v>636.21591000000001</v>
      </c>
      <c r="Z35" s="3">
        <v>126.85</v>
      </c>
      <c r="AA35" s="2" cm="1">
        <f t="array" ref="AA35">SUM($F$2:$F$59*($C$2:$C$59=$Q$3))</f>
        <v>5.8720999999999997</v>
      </c>
      <c r="AB35" s="3">
        <f t="shared" si="1"/>
        <v>744.87588499999993</v>
      </c>
      <c r="AC35" s="3">
        <v>14.15</v>
      </c>
      <c r="AD35" s="2" cm="1">
        <f t="array" ref="AD35">SUM($F$2:$F$59*($C$2:$C$59=$Q$4))</f>
        <v>21.983000000000001</v>
      </c>
      <c r="AE35" s="3">
        <f t="shared" si="2"/>
        <v>311.05945000000003</v>
      </c>
      <c r="AF35" s="3">
        <v>14.07</v>
      </c>
      <c r="AG35" s="2" cm="1">
        <f t="array" ref="AG35">SUM($F$2:$F$59*($C$2:$C$59=$Q$5))</f>
        <v>43.772999999999996</v>
      </c>
      <c r="AH35" s="3">
        <f t="shared" si="3"/>
        <v>615.88610999999992</v>
      </c>
      <c r="AI35" s="3">
        <v>18.8</v>
      </c>
      <c r="AJ35" s="2" cm="1">
        <f t="array" ref="AJ35">SUM($F$2:$F$59*($C$2:$C$59=$Q$6))</f>
        <v>0</v>
      </c>
      <c r="AK35" s="3">
        <f t="shared" si="4"/>
        <v>0</v>
      </c>
      <c r="AL35" s="3">
        <v>19.98</v>
      </c>
      <c r="AM35" s="2" cm="1">
        <f t="array" ref="AM35">SUM($F$2:$F$59*($C$2:$C$59=$Q$8))</f>
        <v>0</v>
      </c>
      <c r="AN35" s="3">
        <f t="shared" si="5"/>
        <v>0</v>
      </c>
      <c r="AO35" s="3">
        <f>SUM(J2:J59)</f>
        <v>1376.3100000000004</v>
      </c>
      <c r="AP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3684.3473549999999</v>
      </c>
      <c r="AQ35" s="3" cm="1">
        <f t="array" aca="1" ref="AQ35" ca="1">OFFSET(Table7[[#This Row],[Investment Increase]],0,-1)-SUM($J$2:$J$59*($E$2:$E$59=$Q$31))</f>
        <v>245.34735499999988</v>
      </c>
    </row>
    <row r="36" spans="1:43" x14ac:dyDescent="0.45">
      <c r="B36" s="1">
        <v>44337</v>
      </c>
      <c r="C36" t="s">
        <v>46</v>
      </c>
      <c r="D36" t="s">
        <v>44</v>
      </c>
      <c r="E36" t="s">
        <v>15</v>
      </c>
      <c r="J36" s="3">
        <v>0.01</v>
      </c>
      <c r="V36" s="9">
        <v>44694</v>
      </c>
      <c r="W36" s="3">
        <v>148.94999999999999</v>
      </c>
      <c r="X36" s="2" cm="1">
        <f t="array" ref="X36">SUM($F$2:$F$59*($C$2:$C$59=$Q$2))</f>
        <v>4.3230000000000004</v>
      </c>
      <c r="Y36" s="3">
        <f t="shared" si="0"/>
        <v>643.91084999999998</v>
      </c>
      <c r="Z36" s="3">
        <v>128.76</v>
      </c>
      <c r="AA36" s="2" cm="1">
        <f t="array" ref="AA36">SUM($F$2:$F$59*($C$2:$C$59=$Q$3))</f>
        <v>5.8720999999999997</v>
      </c>
      <c r="AB36" s="3">
        <f t="shared" si="1"/>
        <v>756.09159599999987</v>
      </c>
      <c r="AC36" s="3">
        <v>14.31</v>
      </c>
      <c r="AD36" s="2" cm="1">
        <f t="array" ref="AD36">SUM($F$2:$F$59*($C$2:$C$59=$Q$4))</f>
        <v>21.983000000000001</v>
      </c>
      <c r="AE36" s="3">
        <f t="shared" si="2"/>
        <v>314.57673</v>
      </c>
      <c r="AF36" s="3">
        <v>14.14</v>
      </c>
      <c r="AG36" s="2" cm="1">
        <f t="array" ref="AG36">SUM($F$2:$F$59*($C$2:$C$59=$Q$5))</f>
        <v>43.772999999999996</v>
      </c>
      <c r="AH36" s="3">
        <f t="shared" si="3"/>
        <v>618.95021999999994</v>
      </c>
      <c r="AI36" s="3">
        <v>18.87</v>
      </c>
      <c r="AJ36" s="2" cm="1">
        <f t="array" ref="AJ36">SUM($F$2:$F$59*($C$2:$C$59=$Q$6))</f>
        <v>0</v>
      </c>
      <c r="AK36" s="3">
        <f t="shared" si="4"/>
        <v>0</v>
      </c>
      <c r="AL36" s="3">
        <v>19.59</v>
      </c>
      <c r="AM36" s="2" cm="1">
        <f t="array" ref="AM36">SUM($F$2:$F$59*($C$2:$C$59=$Q$8))</f>
        <v>0</v>
      </c>
      <c r="AN36" s="3">
        <f t="shared" si="5"/>
        <v>0</v>
      </c>
      <c r="AO36" s="3">
        <f>SUM(J2:J59)</f>
        <v>1376.3100000000004</v>
      </c>
      <c r="AP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3709.8393960000003</v>
      </c>
      <c r="AQ36" s="3" cm="1">
        <f t="array" aca="1" ref="AQ36" ca="1">OFFSET(Table7[[#This Row],[Investment Increase]],0,-1)-SUM($J$2:$J$59*($E$2:$E$59=$Q$31))</f>
        <v>270.83939600000031</v>
      </c>
    </row>
    <row r="37" spans="1:43" x14ac:dyDescent="0.45">
      <c r="B37" s="1">
        <v>44376</v>
      </c>
      <c r="C37" t="s">
        <v>46</v>
      </c>
      <c r="D37" t="s">
        <v>44</v>
      </c>
      <c r="E37" t="s">
        <v>15</v>
      </c>
      <c r="J37" s="3">
        <v>0.01</v>
      </c>
      <c r="V37" s="9">
        <v>44693</v>
      </c>
      <c r="W37" s="3">
        <v>143.49</v>
      </c>
      <c r="X37" s="2" cm="1">
        <f t="array" ref="X37">SUM($F$2:$F$59*($C$2:$C$59=$Q$2))</f>
        <v>4.3230000000000004</v>
      </c>
      <c r="Y37" s="3">
        <f t="shared" si="0"/>
        <v>620.30727000000013</v>
      </c>
      <c r="Z37" s="3">
        <v>123.23</v>
      </c>
      <c r="AA37" s="2" cm="1">
        <f t="array" ref="AA37">SUM($F$2:$F$59*($C$2:$C$59=$Q$3))</f>
        <v>5.8720999999999997</v>
      </c>
      <c r="AB37" s="3">
        <f t="shared" si="1"/>
        <v>723.61888299999998</v>
      </c>
      <c r="AC37" s="3">
        <v>13.83</v>
      </c>
      <c r="AD37" s="2" cm="1">
        <f t="array" ref="AD37">SUM($F$2:$F$59*($C$2:$C$59=$Q$4))</f>
        <v>21.983000000000001</v>
      </c>
      <c r="AE37" s="3">
        <f t="shared" si="2"/>
        <v>304.02489000000003</v>
      </c>
      <c r="AF37" s="3">
        <v>13.79</v>
      </c>
      <c r="AG37" s="2" cm="1">
        <f t="array" ref="AG37">SUM($F$2:$F$59*($C$2:$C$59=$Q$5))</f>
        <v>43.772999999999996</v>
      </c>
      <c r="AH37" s="3">
        <f t="shared" si="3"/>
        <v>603.62966999999992</v>
      </c>
      <c r="AI37" s="3">
        <v>18.420000000000002</v>
      </c>
      <c r="AJ37" s="2" cm="1">
        <f t="array" ref="AJ37">SUM($F$2:$F$59*($C$2:$C$59=$Q$6))</f>
        <v>0</v>
      </c>
      <c r="AK37" s="3">
        <f t="shared" si="4"/>
        <v>0</v>
      </c>
      <c r="AL37" s="3">
        <v>19.07</v>
      </c>
      <c r="AM37" s="2" cm="1">
        <f t="array" ref="AM37">SUM($F$2:$F$59*($C$2:$C$59=$Q$8))</f>
        <v>0</v>
      </c>
      <c r="AN37" s="3">
        <f t="shared" si="5"/>
        <v>0</v>
      </c>
      <c r="AO37" s="3">
        <f>SUM(J2:J59)</f>
        <v>1376.3100000000004</v>
      </c>
      <c r="AP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3627.8907130000002</v>
      </c>
      <c r="AQ37" s="3" cm="1">
        <f t="array" aca="1" ref="AQ37" ca="1">OFFSET(Table7[[#This Row],[Investment Increase]],0,-1)-SUM($J$2:$J$59*($E$2:$E$59=$Q$31))</f>
        <v>188.89071300000023</v>
      </c>
    </row>
    <row r="38" spans="1:43" x14ac:dyDescent="0.45">
      <c r="B38" s="1">
        <v>44387</v>
      </c>
      <c r="C38" t="s">
        <v>8</v>
      </c>
      <c r="D38">
        <v>315912709</v>
      </c>
      <c r="E38" t="s">
        <v>9</v>
      </c>
      <c r="F38" s="2">
        <v>1.992</v>
      </c>
      <c r="G38" s="3">
        <v>191.21</v>
      </c>
      <c r="J38" s="3">
        <v>-300</v>
      </c>
      <c r="K38" t="s">
        <v>65</v>
      </c>
      <c r="L38" t="s">
        <v>24</v>
      </c>
      <c r="M38" t="s">
        <v>25</v>
      </c>
      <c r="N38" t="s">
        <v>66</v>
      </c>
      <c r="V38" s="9">
        <v>44692</v>
      </c>
      <c r="W38" s="3">
        <v>143.4</v>
      </c>
      <c r="X38" s="2" cm="1">
        <f t="array" ref="X38">SUM($F$2:$F$59*($C$2:$C$59=$Q$2))</f>
        <v>4.3230000000000004</v>
      </c>
      <c r="Y38" s="3">
        <f t="shared" si="0"/>
        <v>619.91820000000007</v>
      </c>
      <c r="Z38" s="3">
        <v>123.14</v>
      </c>
      <c r="AA38" s="2" cm="1">
        <f t="array" ref="AA38">SUM($F$2:$F$59*($C$2:$C$59=$Q$3))</f>
        <v>5.8720999999999997</v>
      </c>
      <c r="AB38" s="3">
        <f t="shared" si="1"/>
        <v>723.09039399999995</v>
      </c>
      <c r="AC38" s="3">
        <v>13.85</v>
      </c>
      <c r="AD38" s="2" cm="1">
        <f t="array" ref="AD38">SUM($F$2:$F$59*($C$2:$C$59=$Q$4))</f>
        <v>21.983000000000001</v>
      </c>
      <c r="AE38" s="3">
        <f t="shared" si="2"/>
        <v>304.46454999999997</v>
      </c>
      <c r="AF38" s="3">
        <v>13.79</v>
      </c>
      <c r="AG38" s="2" cm="1">
        <f t="array" ref="AG38">SUM($F$2:$F$59*($C$2:$C$59=$Q$5))</f>
        <v>43.772999999999996</v>
      </c>
      <c r="AH38" s="3">
        <f t="shared" si="3"/>
        <v>603.62966999999992</v>
      </c>
      <c r="AI38" s="3">
        <v>18.440000000000001</v>
      </c>
      <c r="AJ38" s="2" cm="1">
        <f t="array" ref="AJ38">SUM($F$2:$F$59*($C$2:$C$59=$Q$6))</f>
        <v>0</v>
      </c>
      <c r="AK38" s="3">
        <f t="shared" si="4"/>
        <v>0</v>
      </c>
      <c r="AL38" s="3">
        <v>19.25</v>
      </c>
      <c r="AM38" s="2" cm="1">
        <f t="array" ref="AM38">SUM($F$2:$F$59*($C$2:$C$59=$Q$8))</f>
        <v>0</v>
      </c>
      <c r="AN38" s="3">
        <f t="shared" si="5"/>
        <v>0</v>
      </c>
      <c r="AO38" s="3">
        <f>SUM(J2:J59)</f>
        <v>1376.3100000000004</v>
      </c>
      <c r="AP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3627.4128140000003</v>
      </c>
      <c r="AQ38" s="3" cm="1">
        <f t="array" aca="1" ref="AQ38" ca="1">OFFSET(Table7[[#This Row],[Investment Increase]],0,-1)-SUM($J$2:$J$59*($E$2:$E$59=$Q$31))</f>
        <v>188.41281400000025</v>
      </c>
    </row>
    <row r="39" spans="1:43" x14ac:dyDescent="0.45">
      <c r="B39" s="1">
        <v>44398</v>
      </c>
      <c r="C39" t="s">
        <v>12</v>
      </c>
      <c r="D39">
        <v>316389303</v>
      </c>
      <c r="E39" t="s">
        <v>9</v>
      </c>
      <c r="F39" s="2">
        <v>1.9430000000000001</v>
      </c>
      <c r="G39" s="15">
        <v>174.93</v>
      </c>
      <c r="J39" s="3">
        <v>-310</v>
      </c>
      <c r="K39" t="s">
        <v>65</v>
      </c>
      <c r="L39" t="s">
        <v>24</v>
      </c>
      <c r="M39" t="s">
        <v>25</v>
      </c>
      <c r="N39" t="s">
        <v>66</v>
      </c>
      <c r="V39" s="9">
        <v>44691</v>
      </c>
      <c r="W39" s="3">
        <v>148.1</v>
      </c>
      <c r="X39" s="2" cm="1">
        <f t="array" ref="X39">SUM($F$2:$F$59*($C$2:$C$59=$Q$2))</f>
        <v>4.3230000000000004</v>
      </c>
      <c r="Y39" s="3">
        <f t="shared" si="0"/>
        <v>640.23630000000003</v>
      </c>
      <c r="Z39" s="3">
        <v>127.39</v>
      </c>
      <c r="AA39" s="2" cm="1">
        <f t="array" ref="AA39">SUM($F$2:$F$59*($C$2:$C$59=$Q$3))</f>
        <v>5.8720999999999997</v>
      </c>
      <c r="AB39" s="3">
        <f t="shared" si="1"/>
        <v>748.04681899999991</v>
      </c>
      <c r="AC39" s="3">
        <v>14.26</v>
      </c>
      <c r="AD39" s="2" cm="1">
        <f t="array" ref="AD39">SUM($F$2:$F$59*($C$2:$C$59=$Q$4))</f>
        <v>21.983000000000001</v>
      </c>
      <c r="AE39" s="3">
        <f t="shared" si="2"/>
        <v>313.47757999999999</v>
      </c>
      <c r="AF39" s="3">
        <v>14.03</v>
      </c>
      <c r="AG39" s="2" cm="1">
        <f t="array" ref="AG39">SUM($F$2:$F$59*($C$2:$C$59=$Q$5))</f>
        <v>43.772999999999996</v>
      </c>
      <c r="AH39" s="3">
        <f t="shared" si="3"/>
        <v>614.13518999999997</v>
      </c>
      <c r="AI39" s="3">
        <v>18.73</v>
      </c>
      <c r="AJ39" s="2" cm="1">
        <f t="array" ref="AJ39">SUM($F$2:$F$59*($C$2:$C$59=$Q$6))</f>
        <v>0</v>
      </c>
      <c r="AK39" s="3">
        <f t="shared" si="4"/>
        <v>0</v>
      </c>
      <c r="AL39" s="3">
        <v>19.05</v>
      </c>
      <c r="AM39" s="2" cm="1">
        <f t="array" ref="AM39">SUM($F$2:$F$59*($C$2:$C$59=$Q$8))</f>
        <v>0</v>
      </c>
      <c r="AN39" s="3">
        <f t="shared" si="5"/>
        <v>0</v>
      </c>
      <c r="AO39" s="3">
        <f>SUM(J2:J59)</f>
        <v>1376.3100000000004</v>
      </c>
      <c r="AP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3692.2058890000003</v>
      </c>
      <c r="AQ39" s="3" cm="1">
        <f t="array" aca="1" ref="AQ39" ca="1">OFFSET(Table7[[#This Row],[Investment Increase]],0,-1)-SUM($J$2:$J$59*($E$2:$E$59=$Q$31))</f>
        <v>253.2058890000003</v>
      </c>
    </row>
    <row r="40" spans="1:43" x14ac:dyDescent="0.45">
      <c r="B40" s="1">
        <v>44398</v>
      </c>
      <c r="C40" t="s">
        <v>10</v>
      </c>
      <c r="D40">
        <v>316389105</v>
      </c>
      <c r="E40" t="s">
        <v>9</v>
      </c>
      <c r="F40" s="2">
        <v>4.5910000000000002</v>
      </c>
      <c r="G40" s="15">
        <v>21</v>
      </c>
      <c r="J40" s="3">
        <v>-120</v>
      </c>
      <c r="K40" t="s">
        <v>65</v>
      </c>
      <c r="L40" t="s">
        <v>24</v>
      </c>
      <c r="M40" t="s">
        <v>25</v>
      </c>
      <c r="N40" t="s">
        <v>66</v>
      </c>
      <c r="V40" s="9">
        <v>44690</v>
      </c>
      <c r="W40" s="3">
        <v>146.63999999999999</v>
      </c>
      <c r="X40" s="2" cm="1">
        <f t="array" ref="X40">SUM($F$2:$F$59*($C$2:$C$59=$Q$2))</f>
        <v>4.3230000000000004</v>
      </c>
      <c r="Y40" s="3">
        <f t="shared" si="0"/>
        <v>633.92471999999998</v>
      </c>
      <c r="Z40" s="3">
        <v>126.15</v>
      </c>
      <c r="AA40" s="2" cm="1">
        <f t="array" ref="AA40">SUM($F$2:$F$59*($C$2:$C$59=$Q$3))</f>
        <v>5.8720999999999997</v>
      </c>
      <c r="AB40" s="3">
        <f t="shared" si="1"/>
        <v>740.76541499999996</v>
      </c>
      <c r="AC40" s="3">
        <v>14.11</v>
      </c>
      <c r="AD40" s="2" cm="1">
        <f t="array" ref="AD40">SUM($F$2:$F$59*($C$2:$C$59=$Q$4))</f>
        <v>21.983000000000001</v>
      </c>
      <c r="AE40" s="3">
        <f t="shared" si="2"/>
        <v>310.18013000000002</v>
      </c>
      <c r="AF40" s="3">
        <v>13.99</v>
      </c>
      <c r="AG40" s="2" cm="1">
        <f t="array" ref="AG40">SUM($F$2:$F$59*($C$2:$C$59=$Q$5))</f>
        <v>43.772999999999996</v>
      </c>
      <c r="AH40" s="3">
        <f t="shared" si="3"/>
        <v>612.3842699999999</v>
      </c>
      <c r="AI40" s="3">
        <v>18.670000000000002</v>
      </c>
      <c r="AJ40" s="2" cm="1">
        <f t="array" ref="AJ40">SUM($F$2:$F$59*($C$2:$C$59=$Q$6))</f>
        <v>0</v>
      </c>
      <c r="AK40" s="3">
        <f t="shared" si="4"/>
        <v>0</v>
      </c>
      <c r="AL40" s="3">
        <v>18.95</v>
      </c>
      <c r="AM40" s="2" cm="1">
        <f t="array" ref="AM40">SUM($F$2:$F$59*($C$2:$C$59=$Q$8))</f>
        <v>0</v>
      </c>
      <c r="AN40" s="3">
        <f t="shared" si="5"/>
        <v>0</v>
      </c>
      <c r="AO40" s="3">
        <f>SUM(J2:J59)</f>
        <v>1376.3100000000004</v>
      </c>
      <c r="AP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3673.564535</v>
      </c>
      <c r="AQ40" s="3" cm="1">
        <f t="array" aca="1" ref="AQ40" ca="1">OFFSET(Table7[[#This Row],[Investment Increase]],0,-1)-SUM($J$2:$J$59*($E$2:$E$59=$Q$31))</f>
        <v>234.56453499999998</v>
      </c>
    </row>
    <row r="41" spans="1:43" x14ac:dyDescent="0.45">
      <c r="B41" s="1">
        <v>44398</v>
      </c>
      <c r="C41" t="s">
        <v>11</v>
      </c>
      <c r="D41">
        <v>315911628</v>
      </c>
      <c r="E41" t="s">
        <v>9</v>
      </c>
      <c r="F41" s="2">
        <v>5.9420000000000002</v>
      </c>
      <c r="G41" s="15">
        <v>16</v>
      </c>
      <c r="J41" s="3">
        <v>-90</v>
      </c>
      <c r="K41" t="s">
        <v>65</v>
      </c>
      <c r="L41" t="s">
        <v>24</v>
      </c>
      <c r="M41" t="s">
        <v>25</v>
      </c>
      <c r="N41" t="s">
        <v>66</v>
      </c>
      <c r="V41" s="9">
        <v>44687</v>
      </c>
      <c r="W41" s="3">
        <v>153.18</v>
      </c>
      <c r="X41" s="2" cm="1">
        <f t="array" ref="X41">SUM($F$2:$F$59*($C$2:$C$59=$Q$2))</f>
        <v>4.3230000000000004</v>
      </c>
      <c r="Y41" s="3">
        <f t="shared" si="0"/>
        <v>662.1971400000001</v>
      </c>
      <c r="Z41" s="3">
        <v>133.53</v>
      </c>
      <c r="AA41" s="2" cm="1">
        <f t="array" ref="AA41">SUM($F$2:$F$59*($C$2:$C$59=$Q$3))</f>
        <v>5.8720999999999997</v>
      </c>
      <c r="AB41" s="3">
        <f t="shared" si="1"/>
        <v>784.10151299999995</v>
      </c>
      <c r="AC41" s="3">
        <v>14.78</v>
      </c>
      <c r="AD41" s="2" cm="1">
        <f t="array" ref="AD41">SUM($F$2:$F$59*($C$2:$C$59=$Q$4))</f>
        <v>21.983000000000001</v>
      </c>
      <c r="AE41" s="3">
        <f t="shared" si="2"/>
        <v>324.90873999999997</v>
      </c>
      <c r="AF41" s="3">
        <v>14.49</v>
      </c>
      <c r="AG41" s="2" cm="1">
        <f t="array" ref="AG41">SUM($F$2:$F$59*($C$2:$C$59=$Q$5))</f>
        <v>43.772999999999996</v>
      </c>
      <c r="AH41" s="3">
        <f t="shared" si="3"/>
        <v>634.27076999999997</v>
      </c>
      <c r="AI41" s="3">
        <v>19.309999999999999</v>
      </c>
      <c r="AJ41" s="2" cm="1">
        <f t="array" ref="AJ41">SUM($F$2:$F$59*($C$2:$C$59=$Q$6))</f>
        <v>0</v>
      </c>
      <c r="AK41" s="3">
        <f t="shared" si="4"/>
        <v>0</v>
      </c>
      <c r="AL41" s="3">
        <v>20.34</v>
      </c>
      <c r="AM41" s="2" cm="1">
        <f t="array" ref="AM41">SUM($F$2:$F$59*($C$2:$C$59=$Q$8))</f>
        <v>0</v>
      </c>
      <c r="AN41" s="3">
        <f t="shared" si="5"/>
        <v>0</v>
      </c>
      <c r="AO41" s="3">
        <f>SUM(J2:J59)</f>
        <v>1376.3100000000004</v>
      </c>
      <c r="AP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3781.7881630000006</v>
      </c>
      <c r="AQ41" s="3" cm="1">
        <f t="array" aca="1" ref="AQ41" ca="1">OFFSET(Table7[[#This Row],[Investment Increase]],0,-1)-SUM($J$2:$J$59*($E$2:$E$59=$Q$31))</f>
        <v>342.78816300000062</v>
      </c>
    </row>
    <row r="42" spans="1:43" x14ac:dyDescent="0.45">
      <c r="B42" s="1">
        <v>44399</v>
      </c>
      <c r="C42" t="s">
        <v>11</v>
      </c>
      <c r="D42">
        <v>315911628</v>
      </c>
      <c r="E42" t="s">
        <v>9</v>
      </c>
      <c r="F42" s="2">
        <v>20.491</v>
      </c>
      <c r="G42" s="15">
        <v>16</v>
      </c>
      <c r="J42" s="3">
        <v>-260</v>
      </c>
      <c r="K42" t="s">
        <v>65</v>
      </c>
      <c r="L42" t="s">
        <v>24</v>
      </c>
      <c r="M42" t="s">
        <v>25</v>
      </c>
      <c r="N42" t="s">
        <v>66</v>
      </c>
      <c r="V42" s="9">
        <v>44686</v>
      </c>
      <c r="W42" s="3">
        <v>155.32</v>
      </c>
      <c r="X42" s="2" cm="1">
        <f t="array" ref="X42">SUM($F$2:$F$59*($C$2:$C$59=$Q$2))</f>
        <v>4.3230000000000004</v>
      </c>
      <c r="Y42" s="3">
        <f t="shared" si="0"/>
        <v>671.44835999999998</v>
      </c>
      <c r="Z42" s="3">
        <v>135.66999999999999</v>
      </c>
      <c r="AA42" s="2" cm="1">
        <f t="array" ref="AA42">SUM($F$2:$F$59*($C$2:$C$59=$Q$3))</f>
        <v>5.8720999999999997</v>
      </c>
      <c r="AB42" s="3">
        <f t="shared" si="1"/>
        <v>796.66780699999993</v>
      </c>
      <c r="AC42" s="3">
        <v>15.01</v>
      </c>
      <c r="AD42" s="2" cm="1">
        <f t="array" ref="AD42">SUM($F$2:$F$59*($C$2:$C$59=$Q$4))</f>
        <v>21.983000000000001</v>
      </c>
      <c r="AE42" s="3">
        <f t="shared" si="2"/>
        <v>329.96483000000001</v>
      </c>
      <c r="AF42" s="3">
        <v>14.58</v>
      </c>
      <c r="AG42" s="2" cm="1">
        <f t="array" ref="AG42">SUM($F$2:$F$59*($C$2:$C$59=$Q$5))</f>
        <v>43.772999999999996</v>
      </c>
      <c r="AH42" s="3">
        <f t="shared" si="3"/>
        <v>638.21033999999997</v>
      </c>
      <c r="AI42" s="3">
        <v>19.399999999999999</v>
      </c>
      <c r="AJ42" s="2" cm="1">
        <f t="array" ref="AJ42">SUM($F$2:$F$59*($C$2:$C$59=$Q$6))</f>
        <v>0</v>
      </c>
      <c r="AK42" s="3">
        <f t="shared" si="4"/>
        <v>0</v>
      </c>
      <c r="AL42" s="3">
        <v>20.350000000000001</v>
      </c>
      <c r="AM42" s="2" cm="1">
        <f t="array" ref="AM42">SUM($F$2:$F$59*($C$2:$C$59=$Q$8))</f>
        <v>0</v>
      </c>
      <c r="AN42" s="3">
        <f t="shared" si="5"/>
        <v>0</v>
      </c>
      <c r="AO42" s="3">
        <f>SUM(J2:J59)</f>
        <v>1376.3100000000004</v>
      </c>
      <c r="AP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3812.6013370000005</v>
      </c>
      <c r="AQ42" s="3" cm="1">
        <f t="array" aca="1" ref="AQ42" ca="1">OFFSET(Table7[[#This Row],[Investment Increase]],0,-1)-SUM($J$2:$J$59*($E$2:$E$59=$Q$31))</f>
        <v>373.60133700000051</v>
      </c>
    </row>
    <row r="43" spans="1:43" x14ac:dyDescent="0.45">
      <c r="B43" s="1">
        <v>44406</v>
      </c>
      <c r="C43" t="s">
        <v>46</v>
      </c>
      <c r="D43" t="s">
        <v>44</v>
      </c>
      <c r="E43" t="s">
        <v>15</v>
      </c>
      <c r="J43" s="3">
        <v>0.02</v>
      </c>
      <c r="V43" s="9">
        <v>44685</v>
      </c>
      <c r="W43" s="3">
        <v>163.47</v>
      </c>
      <c r="X43" s="2" cm="1">
        <f t="array" ref="X43">SUM($F$2:$F$59*($C$2:$C$59=$Q$2))</f>
        <v>4.3230000000000004</v>
      </c>
      <c r="Y43" s="3">
        <f t="shared" si="0"/>
        <v>706.68081000000006</v>
      </c>
      <c r="Z43" s="3">
        <v>143.62</v>
      </c>
      <c r="AA43" s="2" cm="1">
        <f t="array" ref="AA43">SUM($F$2:$F$59*($C$2:$C$59=$Q$3))</f>
        <v>5.8720999999999997</v>
      </c>
      <c r="AB43" s="3">
        <f t="shared" si="1"/>
        <v>843.35100199999999</v>
      </c>
      <c r="AC43" s="3">
        <v>15.81</v>
      </c>
      <c r="AD43" s="2" cm="1">
        <f t="array" ref="AD43">SUM($F$2:$F$59*($C$2:$C$59=$Q$4))</f>
        <v>21.983000000000001</v>
      </c>
      <c r="AE43" s="3">
        <f t="shared" si="2"/>
        <v>347.55123000000003</v>
      </c>
      <c r="AF43" s="3">
        <v>15.14</v>
      </c>
      <c r="AG43" s="2" cm="1">
        <f t="array" ref="AG43">SUM($F$2:$F$59*($C$2:$C$59=$Q$5))</f>
        <v>43.772999999999996</v>
      </c>
      <c r="AH43" s="3">
        <f t="shared" si="3"/>
        <v>662.72321999999997</v>
      </c>
      <c r="AI43" s="3">
        <v>20.11</v>
      </c>
      <c r="AJ43" s="2" cm="1">
        <f t="array" ref="AJ43">SUM($F$2:$F$59*($C$2:$C$59=$Q$6))</f>
        <v>0</v>
      </c>
      <c r="AK43" s="3">
        <f t="shared" si="4"/>
        <v>0</v>
      </c>
      <c r="AL43" s="3">
        <v>20.89</v>
      </c>
      <c r="AM43" s="2" cm="1">
        <f t="array" ref="AM43">SUM($F$2:$F$59*($C$2:$C$59=$Q$8))</f>
        <v>0</v>
      </c>
      <c r="AN43" s="3">
        <f t="shared" si="5"/>
        <v>0</v>
      </c>
      <c r="AO43" s="3">
        <f>SUM(J2:J59)</f>
        <v>1376.3100000000004</v>
      </c>
      <c r="AP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3936.6162620000005</v>
      </c>
      <c r="AQ43" s="3" cm="1">
        <f t="array" aca="1" ref="AQ43" ca="1">OFFSET(Table7[[#This Row],[Investment Increase]],0,-1)-SUM($J$2:$J$59*($E$2:$E$59=$Q$31))</f>
        <v>497.61626200000046</v>
      </c>
    </row>
    <row r="44" spans="1:43" x14ac:dyDescent="0.45">
      <c r="B44" s="1">
        <v>44447</v>
      </c>
      <c r="C44" t="s">
        <v>12</v>
      </c>
      <c r="D44">
        <v>316389303</v>
      </c>
      <c r="E44" t="s">
        <v>14</v>
      </c>
      <c r="F44" s="2">
        <v>0.41899999999999998</v>
      </c>
      <c r="G44" s="3">
        <v>191</v>
      </c>
      <c r="J44" s="3">
        <v>-62</v>
      </c>
      <c r="V44" s="9">
        <v>44684</v>
      </c>
      <c r="W44" s="3">
        <v>158.4</v>
      </c>
      <c r="X44" s="2" cm="1">
        <f t="array" ref="X44">SUM($F$2:$F$59*($C$2:$C$59=$Q$2))</f>
        <v>4.3230000000000004</v>
      </c>
      <c r="Y44" s="3">
        <f t="shared" si="0"/>
        <v>684.7632000000001</v>
      </c>
      <c r="Z44" s="3">
        <v>140.03</v>
      </c>
      <c r="AA44" s="2" cm="1">
        <f t="array" ref="AA44">SUM($F$2:$F$59*($C$2:$C$59=$Q$3))</f>
        <v>5.8720999999999997</v>
      </c>
      <c r="AB44" s="3">
        <f t="shared" si="1"/>
        <v>822.27016299999991</v>
      </c>
      <c r="AC44" s="3">
        <v>15.39</v>
      </c>
      <c r="AD44" s="2" cm="1">
        <f t="array" ref="AD44">SUM($F$2:$F$59*($C$2:$C$59=$Q$4))</f>
        <v>21.983000000000001</v>
      </c>
      <c r="AE44" s="3">
        <f t="shared" si="2"/>
        <v>338.31837000000002</v>
      </c>
      <c r="AF44" s="3">
        <v>14.7</v>
      </c>
      <c r="AG44" s="2" cm="1">
        <f t="array" ref="AG44">SUM($F$2:$F$59*($C$2:$C$59=$Q$5))</f>
        <v>43.772999999999996</v>
      </c>
      <c r="AH44" s="3">
        <f t="shared" si="3"/>
        <v>643.46309999999994</v>
      </c>
      <c r="AI44" s="3">
        <v>19.510000000000002</v>
      </c>
      <c r="AJ44" s="2" cm="1">
        <f t="array" ref="AJ44">SUM($F$2:$F$59*($C$2:$C$59=$Q$6))</f>
        <v>0</v>
      </c>
      <c r="AK44" s="3">
        <f t="shared" si="4"/>
        <v>0</v>
      </c>
      <c r="AL44" s="3">
        <v>20.350000000000001</v>
      </c>
      <c r="AM44" s="2" cm="1">
        <f t="array" ref="AM44">SUM($F$2:$F$59*($C$2:$C$59=$Q$8))</f>
        <v>0</v>
      </c>
      <c r="AN44" s="3">
        <f t="shared" si="5"/>
        <v>0</v>
      </c>
      <c r="AO44" s="3">
        <f>SUM(J2:J59)</f>
        <v>1376.3100000000004</v>
      </c>
      <c r="AP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3865.1248330000003</v>
      </c>
      <c r="AQ44" s="3" cm="1">
        <f t="array" aca="1" ref="AQ44" ca="1">OFFSET(Table7[[#This Row],[Investment Increase]],0,-1)-SUM($J$2:$J$59*($E$2:$E$59=$Q$31))</f>
        <v>426.12483300000031</v>
      </c>
    </row>
    <row r="45" spans="1:43" x14ac:dyDescent="0.45">
      <c r="B45" s="1">
        <v>44447</v>
      </c>
      <c r="C45" t="s">
        <v>12</v>
      </c>
      <c r="D45">
        <v>316389303</v>
      </c>
      <c r="E45" t="s">
        <v>16</v>
      </c>
      <c r="J45" s="3">
        <v>56.21</v>
      </c>
      <c r="V45" s="9">
        <v>44683</v>
      </c>
      <c r="W45" s="3">
        <v>158.05000000000001</v>
      </c>
      <c r="X45" s="2" cm="1">
        <f t="array" ref="X45">SUM($F$2:$F$59*($C$2:$C$59=$Q$2))</f>
        <v>4.3230000000000004</v>
      </c>
      <c r="Y45" s="3">
        <f t="shared" si="0"/>
        <v>683.25015000000008</v>
      </c>
      <c r="Z45" s="3">
        <v>140.13</v>
      </c>
      <c r="AA45" s="2" cm="1">
        <f t="array" ref="AA45">SUM($F$2:$F$59*($C$2:$C$59=$Q$3))</f>
        <v>5.8720999999999997</v>
      </c>
      <c r="AB45" s="3">
        <f t="shared" si="1"/>
        <v>822.85737299999994</v>
      </c>
      <c r="AC45" s="3">
        <v>15.4</v>
      </c>
      <c r="AD45" s="2" cm="1">
        <f t="array" ref="AD45">SUM($F$2:$F$59*($C$2:$C$59=$Q$4))</f>
        <v>21.983000000000001</v>
      </c>
      <c r="AE45" s="3">
        <f t="shared" si="2"/>
        <v>338.53820000000002</v>
      </c>
      <c r="AF45" s="3">
        <v>14.64</v>
      </c>
      <c r="AG45" s="2" cm="1">
        <f t="array" ref="AG45">SUM($F$2:$F$59*($C$2:$C$59=$Q$5))</f>
        <v>43.772999999999996</v>
      </c>
      <c r="AH45" s="3">
        <f t="shared" si="3"/>
        <v>640.83672000000001</v>
      </c>
      <c r="AI45" s="3">
        <v>19.38</v>
      </c>
      <c r="AJ45" s="2" cm="1">
        <f t="array" ref="AJ45">SUM($F$2:$F$59*($C$2:$C$59=$Q$6))</f>
        <v>0</v>
      </c>
      <c r="AK45" s="3">
        <f t="shared" si="4"/>
        <v>0</v>
      </c>
      <c r="AL45" s="3">
        <v>19.89</v>
      </c>
      <c r="AM45" s="2" cm="1">
        <f t="array" ref="AM45">SUM($F$2:$F$59*($C$2:$C$59=$Q$8))</f>
        <v>0</v>
      </c>
      <c r="AN45" s="3">
        <f t="shared" si="5"/>
        <v>0</v>
      </c>
      <c r="AO45" s="3">
        <f>SUM(J2:J59)</f>
        <v>1376.3100000000004</v>
      </c>
      <c r="AP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3861.7924430000003</v>
      </c>
      <c r="AQ45" s="3" cm="1">
        <f t="array" aca="1" ref="AQ45" ca="1">OFFSET(Table7[[#This Row],[Investment Increase]],0,-1)-SUM($J$2:$J$59*($E$2:$E$59=$Q$31))</f>
        <v>422.79244300000028</v>
      </c>
    </row>
    <row r="46" spans="1:43" x14ac:dyDescent="0.45">
      <c r="B46" s="1">
        <v>44447</v>
      </c>
      <c r="C46" t="s">
        <v>12</v>
      </c>
      <c r="D46">
        <v>316389303</v>
      </c>
      <c r="E46" t="s">
        <v>17</v>
      </c>
      <c r="J46" s="3">
        <v>7</v>
      </c>
      <c r="V46" s="9">
        <v>44680</v>
      </c>
      <c r="W46" s="3">
        <v>155.52000000000001</v>
      </c>
      <c r="X46" s="2" cm="1">
        <f t="array" ref="X46">SUM($F$2:$F$59*($C$2:$C$59=$Q$2))</f>
        <v>4.3230000000000004</v>
      </c>
      <c r="Y46" s="3">
        <f t="shared" si="0"/>
        <v>672.31296000000009</v>
      </c>
      <c r="Z46" s="3">
        <v>137.65</v>
      </c>
      <c r="AA46" s="2" cm="1">
        <f t="array" ref="AA46">SUM($F$2:$F$59*($C$2:$C$59=$Q$3))</f>
        <v>5.8720999999999997</v>
      </c>
      <c r="AB46" s="3">
        <f t="shared" si="1"/>
        <v>808.29456500000003</v>
      </c>
      <c r="AC46" s="3">
        <v>15.16</v>
      </c>
      <c r="AD46" s="2" cm="1">
        <f t="array" ref="AD46">SUM($F$2:$F$59*($C$2:$C$59=$Q$4))</f>
        <v>21.983000000000001</v>
      </c>
      <c r="AE46" s="3">
        <f t="shared" si="2"/>
        <v>333.26228000000003</v>
      </c>
      <c r="AF46" s="3">
        <v>14.55</v>
      </c>
      <c r="AG46" s="2" cm="1">
        <f t="array" ref="AG46">SUM($F$2:$F$59*($C$2:$C$59=$Q$5))</f>
        <v>43.772999999999996</v>
      </c>
      <c r="AH46" s="3">
        <f t="shared" si="3"/>
        <v>636.89715000000001</v>
      </c>
      <c r="AI46" s="3">
        <v>19.25</v>
      </c>
      <c r="AJ46" s="2" cm="1">
        <f t="array" ref="AJ46">SUM($F$2:$F$59*($C$2:$C$59=$Q$6))</f>
        <v>0</v>
      </c>
      <c r="AK46" s="3">
        <f t="shared" si="4"/>
        <v>0</v>
      </c>
      <c r="AL46" s="3">
        <v>19.93</v>
      </c>
      <c r="AM46" s="2" cm="1">
        <f t="array" ref="AM46">SUM($F$2:$F$59*($C$2:$C$59=$Q$8))</f>
        <v>0</v>
      </c>
      <c r="AN46" s="3">
        <f t="shared" si="5"/>
        <v>0</v>
      </c>
      <c r="AO46" s="3">
        <f>SUM(J2:J59)</f>
        <v>1376.3100000000004</v>
      </c>
      <c r="AP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3827.0769550000005</v>
      </c>
      <c r="AQ46" s="3" cm="1">
        <f t="array" aca="1" ref="AQ46" ca="1">OFFSET(Table7[[#This Row],[Investment Increase]],0,-1)-SUM($J$2:$J$59*($E$2:$E$59=$Q$31))</f>
        <v>388.07695500000045</v>
      </c>
    </row>
    <row r="47" spans="1:43" x14ac:dyDescent="0.45">
      <c r="B47" s="1">
        <v>44447</v>
      </c>
      <c r="C47" t="s">
        <v>10</v>
      </c>
      <c r="D47">
        <v>316389105</v>
      </c>
      <c r="E47" t="s">
        <v>14</v>
      </c>
      <c r="F47" s="2">
        <v>1.212</v>
      </c>
      <c r="G47" s="3">
        <v>20</v>
      </c>
      <c r="J47" s="3">
        <v>-25</v>
      </c>
      <c r="V47" s="9">
        <v>44679</v>
      </c>
      <c r="W47" s="3">
        <v>162.29</v>
      </c>
      <c r="X47" s="2" cm="1">
        <f t="array" ref="X47">SUM($F$2:$F$59*($C$2:$C$59=$Q$2))</f>
        <v>4.3230000000000004</v>
      </c>
      <c r="Y47" s="3">
        <f t="shared" si="0"/>
        <v>701.57967000000008</v>
      </c>
      <c r="Z47" s="3">
        <v>143.85</v>
      </c>
      <c r="AA47" s="2" cm="1">
        <f t="array" ref="AA47">SUM($F$2:$F$59*($C$2:$C$59=$Q$3))</f>
        <v>5.8720999999999997</v>
      </c>
      <c r="AB47" s="3">
        <f t="shared" si="1"/>
        <v>844.70158499999991</v>
      </c>
      <c r="AC47" s="3">
        <v>15.83</v>
      </c>
      <c r="AD47" s="2" cm="1">
        <f t="array" ref="AD47">SUM($F$2:$F$59*($C$2:$C$59=$Q$4))</f>
        <v>21.983000000000001</v>
      </c>
      <c r="AE47" s="3">
        <f t="shared" si="2"/>
        <v>347.99089000000004</v>
      </c>
      <c r="AF47" s="3">
        <v>15.1</v>
      </c>
      <c r="AG47" s="2" cm="1">
        <f t="array" ref="AG47">SUM($F$2:$F$59*($C$2:$C$59=$Q$5))</f>
        <v>43.772999999999996</v>
      </c>
      <c r="AH47" s="3">
        <f t="shared" si="3"/>
        <v>660.9722999999999</v>
      </c>
      <c r="AI47" s="3">
        <v>19.940000000000001</v>
      </c>
      <c r="AJ47" s="2" cm="1">
        <f t="array" ref="AJ47">SUM($F$2:$F$59*($C$2:$C$59=$Q$6))</f>
        <v>0</v>
      </c>
      <c r="AK47" s="3">
        <f t="shared" si="4"/>
        <v>0</v>
      </c>
      <c r="AL47" s="3">
        <v>20.3</v>
      </c>
      <c r="AM47" s="2" cm="1">
        <f t="array" ref="AM47">SUM($F$2:$F$59*($C$2:$C$59=$Q$8))</f>
        <v>0</v>
      </c>
      <c r="AN47" s="3">
        <f t="shared" si="5"/>
        <v>0</v>
      </c>
      <c r="AO47" s="3">
        <f>SUM(J2:J59)</f>
        <v>1376.3100000000004</v>
      </c>
      <c r="AP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3931.5544450000002</v>
      </c>
      <c r="AQ47" s="3" cm="1">
        <f t="array" aca="1" ref="AQ47" ca="1">OFFSET(Table7[[#This Row],[Investment Increase]],0,-1)-SUM($J$2:$J$59*($E$2:$E$59=$Q$31))</f>
        <v>492.55444500000021</v>
      </c>
    </row>
    <row r="48" spans="1:43" x14ac:dyDescent="0.45">
      <c r="B48" s="1">
        <v>44447</v>
      </c>
      <c r="C48" t="s">
        <v>10</v>
      </c>
      <c r="D48">
        <v>316389105</v>
      </c>
      <c r="E48" t="s">
        <v>16</v>
      </c>
      <c r="J48" s="3">
        <v>12</v>
      </c>
      <c r="V48" s="9">
        <v>44678</v>
      </c>
      <c r="W48" s="3">
        <v>157.44999999999999</v>
      </c>
      <c r="X48" s="2" cm="1">
        <f t="array" ref="X48">SUM($F$2:$F$59*($C$2:$C$59=$Q$2))</f>
        <v>4.3230000000000004</v>
      </c>
      <c r="Y48" s="3">
        <f t="shared" si="0"/>
        <v>680.65634999999997</v>
      </c>
      <c r="Z48" s="3">
        <v>138.52000000000001</v>
      </c>
      <c r="AA48" s="2" cm="1">
        <f t="array" ref="AA48">SUM($F$2:$F$59*($C$2:$C$59=$Q$3))</f>
        <v>5.8720999999999997</v>
      </c>
      <c r="AB48" s="3">
        <f t="shared" si="1"/>
        <v>813.40329199999996</v>
      </c>
      <c r="AC48" s="3">
        <v>15.28</v>
      </c>
      <c r="AD48" s="2" cm="1">
        <f t="array" ref="AD48">SUM($F$2:$F$59*($C$2:$C$59=$Q$4))</f>
        <v>21.983000000000001</v>
      </c>
      <c r="AE48" s="3">
        <f t="shared" si="2"/>
        <v>335.90024</v>
      </c>
      <c r="AF48" s="3">
        <v>14.73</v>
      </c>
      <c r="AG48" s="2" cm="1">
        <f t="array" ref="AG48">SUM($F$2:$F$59*($C$2:$C$59=$Q$5))</f>
        <v>43.772999999999996</v>
      </c>
      <c r="AH48" s="3">
        <f t="shared" si="3"/>
        <v>644.77629000000002</v>
      </c>
      <c r="AI48" s="3">
        <v>19.43</v>
      </c>
      <c r="AJ48" s="2" cm="1">
        <f t="array" ref="AJ48">SUM($F$2:$F$59*($C$2:$C$59=$Q$6))</f>
        <v>0</v>
      </c>
      <c r="AK48" s="3">
        <f t="shared" si="4"/>
        <v>0</v>
      </c>
      <c r="AL48" s="3">
        <v>20.04</v>
      </c>
      <c r="AM48" s="2" cm="1">
        <f t="array" ref="AM48">SUM($F$2:$F$59*($C$2:$C$59=$Q$8))</f>
        <v>0</v>
      </c>
      <c r="AN48" s="3">
        <f t="shared" si="5"/>
        <v>0</v>
      </c>
      <c r="AO48" s="3">
        <f>SUM(J2:J59)</f>
        <v>1376.3100000000004</v>
      </c>
      <c r="AP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3851.0461720000003</v>
      </c>
      <c r="AQ48" s="3" cm="1">
        <f t="array" aca="1" ref="AQ48" ca="1">OFFSET(Table7[[#This Row],[Investment Increase]],0,-1)-SUM($J$2:$J$59*($E$2:$E$59=$Q$31))</f>
        <v>412.0461720000003</v>
      </c>
    </row>
    <row r="49" spans="1:43" x14ac:dyDescent="0.45">
      <c r="B49" s="1">
        <v>44448</v>
      </c>
      <c r="C49" t="s">
        <v>10</v>
      </c>
      <c r="D49">
        <v>316389105</v>
      </c>
      <c r="E49" t="s">
        <v>17</v>
      </c>
      <c r="J49" s="3">
        <v>11</v>
      </c>
      <c r="V49" s="9">
        <v>44677</v>
      </c>
      <c r="W49" s="3">
        <v>157.47999999999999</v>
      </c>
      <c r="X49" s="2" cm="1">
        <f t="array" ref="X49">SUM($F$2:$F$59*($C$2:$C$59=$Q$2))</f>
        <v>4.3230000000000004</v>
      </c>
      <c r="Y49" s="3">
        <f t="shared" si="0"/>
        <v>680.78604000000007</v>
      </c>
      <c r="Z49" s="3">
        <v>138.69</v>
      </c>
      <c r="AA49" s="2" cm="1">
        <f t="array" ref="AA49">SUM($F$2:$F$59*($C$2:$C$59=$Q$3))</f>
        <v>5.8720999999999997</v>
      </c>
      <c r="AB49" s="3">
        <f t="shared" si="1"/>
        <v>814.40154899999993</v>
      </c>
      <c r="AC49" s="3">
        <v>15.31</v>
      </c>
      <c r="AD49" s="2" cm="1">
        <f t="array" ref="AD49">SUM($F$2:$F$59*($C$2:$C$59=$Q$4))</f>
        <v>21.983000000000001</v>
      </c>
      <c r="AE49" s="3">
        <f t="shared" si="2"/>
        <v>336.55973</v>
      </c>
      <c r="AF49" s="3">
        <v>14.7</v>
      </c>
      <c r="AG49" s="2" cm="1">
        <f t="array" ref="AG49">SUM($F$2:$F$59*($C$2:$C$59=$Q$5))</f>
        <v>43.772999999999996</v>
      </c>
      <c r="AH49" s="3">
        <f t="shared" si="3"/>
        <v>643.46309999999994</v>
      </c>
      <c r="AI49" s="3">
        <v>19.39</v>
      </c>
      <c r="AJ49" s="2" cm="1">
        <f t="array" ref="AJ49">SUM($F$2:$F$59*($C$2:$C$59=$Q$6))</f>
        <v>0</v>
      </c>
      <c r="AK49" s="3">
        <f t="shared" si="4"/>
        <v>0</v>
      </c>
      <c r="AL49" s="3">
        <v>19.600000000000001</v>
      </c>
      <c r="AM49" s="2" cm="1">
        <f t="array" ref="AM49">SUM($F$2:$F$59*($C$2:$C$59=$Q$8))</f>
        <v>0</v>
      </c>
      <c r="AN49" s="3">
        <f t="shared" si="5"/>
        <v>0</v>
      </c>
      <c r="AO49" s="3">
        <f>SUM(J2:J59)</f>
        <v>1376.3100000000004</v>
      </c>
      <c r="AP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3851.5204190000004</v>
      </c>
      <c r="AQ49" s="3" cm="1">
        <f t="array" aca="1" ref="AQ49" ca="1">OFFSET(Table7[[#This Row],[Investment Increase]],0,-1)-SUM($J$2:$J$59*($E$2:$E$59=$Q$31))</f>
        <v>412.5204190000004</v>
      </c>
    </row>
    <row r="50" spans="1:43" x14ac:dyDescent="0.45">
      <c r="A50" s="1">
        <v>44470</v>
      </c>
      <c r="B50" s="1">
        <v>44478</v>
      </c>
      <c r="C50" t="s">
        <v>10</v>
      </c>
      <c r="D50">
        <v>316389105</v>
      </c>
      <c r="E50" t="s">
        <v>9</v>
      </c>
      <c r="F50" s="2">
        <v>7.9989999999999997</v>
      </c>
      <c r="G50" s="3">
        <v>18</v>
      </c>
      <c r="J50" s="3">
        <v>-140</v>
      </c>
      <c r="K50" t="s">
        <v>65</v>
      </c>
      <c r="L50" t="s">
        <v>24</v>
      </c>
      <c r="M50" t="s">
        <v>25</v>
      </c>
      <c r="N50" t="s">
        <v>66</v>
      </c>
      <c r="V50" s="9">
        <v>44676</v>
      </c>
      <c r="W50" s="3">
        <v>163.96</v>
      </c>
      <c r="X50" s="2" cm="1">
        <f t="array" ref="X50">SUM($F$2:$F$59*($C$2:$C$59=$Q$2))</f>
        <v>4.3230000000000004</v>
      </c>
      <c r="Y50" s="3">
        <f t="shared" si="0"/>
        <v>708.79908000000012</v>
      </c>
      <c r="Z50" s="3">
        <v>144.56</v>
      </c>
      <c r="AA50" s="2" cm="1">
        <f t="array" ref="AA50">SUM($F$2:$F$59*($C$2:$C$59=$Q$3))</f>
        <v>5.8720999999999997</v>
      </c>
      <c r="AB50" s="3">
        <f t="shared" si="1"/>
        <v>848.87077599999998</v>
      </c>
      <c r="AC50" s="3">
        <v>15.86</v>
      </c>
      <c r="AD50" s="2" cm="1">
        <f t="array" ref="AD50">SUM($F$2:$F$59*($C$2:$C$59=$Q$4))</f>
        <v>21.983000000000001</v>
      </c>
      <c r="AE50" s="3">
        <f t="shared" si="2"/>
        <v>348.65037999999998</v>
      </c>
      <c r="AF50" s="3">
        <v>15.14</v>
      </c>
      <c r="AG50" s="2" cm="1">
        <f t="array" ref="AG50">SUM($F$2:$F$59*($C$2:$C$59=$Q$5))</f>
        <v>43.772999999999996</v>
      </c>
      <c r="AH50" s="3">
        <f t="shared" si="3"/>
        <v>662.72321999999997</v>
      </c>
      <c r="AI50" s="3">
        <v>19.940000000000001</v>
      </c>
      <c r="AJ50" s="2" cm="1">
        <f t="array" ref="AJ50">SUM($F$2:$F$59*($C$2:$C$59=$Q$6))</f>
        <v>0</v>
      </c>
      <c r="AK50" s="3">
        <f t="shared" si="4"/>
        <v>0</v>
      </c>
      <c r="AL50" s="3">
        <v>19.88</v>
      </c>
      <c r="AM50" s="2" cm="1">
        <f t="array" ref="AM50">SUM($F$2:$F$59*($C$2:$C$59=$Q$8))</f>
        <v>0</v>
      </c>
      <c r="AN50" s="3">
        <f t="shared" si="5"/>
        <v>0</v>
      </c>
      <c r="AO50" s="3">
        <f>SUM(J2:J59)</f>
        <v>1376.3100000000004</v>
      </c>
      <c r="AP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3945.3534560000003</v>
      </c>
      <c r="AQ50" s="3" cm="1">
        <f t="array" aca="1" ref="AQ50" ca="1">OFFSET(Table7[[#This Row],[Investment Increase]],0,-1)-SUM($J$2:$J$59*($E$2:$E$59=$Q$31))</f>
        <v>506.35345600000028</v>
      </c>
    </row>
    <row r="51" spans="1:43" x14ac:dyDescent="0.45">
      <c r="B51" s="1">
        <v>44531</v>
      </c>
      <c r="C51" t="s">
        <v>11</v>
      </c>
      <c r="D51">
        <v>315911628</v>
      </c>
      <c r="E51" t="s">
        <v>14</v>
      </c>
      <c r="F51" s="2">
        <v>0.5</v>
      </c>
      <c r="G51" s="3">
        <v>16</v>
      </c>
      <c r="J51" s="3">
        <v>7.01</v>
      </c>
      <c r="V51" s="9">
        <v>44673</v>
      </c>
      <c r="W51" s="3">
        <v>161.88</v>
      </c>
      <c r="X51" s="2" cm="1">
        <f t="array" ref="X51">SUM($F$2:$F$59*($C$2:$C$59=$Q$2))</f>
        <v>4.3230000000000004</v>
      </c>
      <c r="Y51" s="3">
        <f t="shared" si="0"/>
        <v>699.80724000000009</v>
      </c>
      <c r="Z51" s="3">
        <v>142.77000000000001</v>
      </c>
      <c r="AA51" s="2" cm="1">
        <f t="array" ref="AA51">SUM($F$2:$F$59*($C$2:$C$59=$Q$3))</f>
        <v>5.8720999999999997</v>
      </c>
      <c r="AB51" s="3">
        <f t="shared" si="1"/>
        <v>838.35971700000005</v>
      </c>
      <c r="AC51" s="3">
        <v>15.66</v>
      </c>
      <c r="AD51" s="2" cm="1">
        <f t="array" ref="AD51">SUM($F$2:$F$59*($C$2:$C$59=$Q$4))</f>
        <v>21.983000000000001</v>
      </c>
      <c r="AE51" s="3">
        <f t="shared" si="2"/>
        <v>344.25378000000001</v>
      </c>
      <c r="AF51" s="3">
        <v>15.04</v>
      </c>
      <c r="AG51" s="2" cm="1">
        <f t="array" ref="AG51">SUM($F$2:$F$59*($C$2:$C$59=$Q$5))</f>
        <v>43.772999999999996</v>
      </c>
      <c r="AH51" s="3">
        <f t="shared" si="3"/>
        <v>658.34591999999986</v>
      </c>
      <c r="AI51" s="3">
        <v>19.84</v>
      </c>
      <c r="AJ51" s="2" cm="1">
        <f t="array" ref="AJ51">SUM($F$2:$F$59*($C$2:$C$59=$Q$6))</f>
        <v>0</v>
      </c>
      <c r="AK51" s="3">
        <f t="shared" si="4"/>
        <v>0</v>
      </c>
      <c r="AL51" s="3">
        <v>20.440000000000001</v>
      </c>
      <c r="AM51" s="2" cm="1">
        <f t="array" ref="AM51">SUM($F$2:$F$59*($C$2:$C$59=$Q$8))</f>
        <v>0</v>
      </c>
      <c r="AN51" s="3">
        <f t="shared" si="5"/>
        <v>0</v>
      </c>
      <c r="AO51" s="3">
        <f>SUM(J2:J59)</f>
        <v>1376.3100000000004</v>
      </c>
      <c r="AP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3917.0766570000005</v>
      </c>
      <c r="AQ51" s="3" cm="1">
        <f t="array" aca="1" ref="AQ51" ca="1">OFFSET(Table7[[#This Row],[Investment Increase]],0,-1)-SUM($J$2:$J$59*($E$2:$E$59=$Q$31))</f>
        <v>478.07665700000052</v>
      </c>
    </row>
    <row r="52" spans="1:43" x14ac:dyDescent="0.45">
      <c r="B52" s="1">
        <v>44531</v>
      </c>
      <c r="C52" t="s">
        <v>11</v>
      </c>
      <c r="D52">
        <v>315911628</v>
      </c>
      <c r="E52" t="s">
        <v>15</v>
      </c>
      <c r="J52" s="3">
        <v>9.01</v>
      </c>
      <c r="V52" s="9">
        <v>44672</v>
      </c>
      <c r="W52" s="3">
        <v>166.11</v>
      </c>
      <c r="X52" s="2" cm="1">
        <f t="array" ref="X52">SUM($F$2:$F$59*($C$2:$C$59=$Q$2))</f>
        <v>4.3230000000000004</v>
      </c>
      <c r="Y52" s="3">
        <f t="shared" si="0"/>
        <v>718.0935300000001</v>
      </c>
      <c r="Z52" s="3">
        <v>146.85</v>
      </c>
      <c r="AA52" s="2" cm="1">
        <f t="array" ref="AA52">SUM($F$2:$F$59*($C$2:$C$59=$Q$3))</f>
        <v>5.8720999999999997</v>
      </c>
      <c r="AB52" s="3">
        <f t="shared" si="1"/>
        <v>862.31788499999993</v>
      </c>
      <c r="AC52" s="3">
        <v>16.04</v>
      </c>
      <c r="AD52" s="2" cm="1">
        <f t="array" ref="AD52">SUM($F$2:$F$59*($C$2:$C$59=$Q$4))</f>
        <v>21.983000000000001</v>
      </c>
      <c r="AE52" s="3">
        <f t="shared" si="2"/>
        <v>352.60732000000002</v>
      </c>
      <c r="AF52" s="3">
        <v>15.47</v>
      </c>
      <c r="AG52" s="2" cm="1">
        <f t="array" ref="AG52">SUM($F$2:$F$59*($C$2:$C$59=$Q$5))</f>
        <v>43.772999999999996</v>
      </c>
      <c r="AH52" s="3">
        <f t="shared" si="3"/>
        <v>677.16831000000002</v>
      </c>
      <c r="AI52" s="3">
        <v>20.38</v>
      </c>
      <c r="AJ52" s="2" cm="1">
        <f t="array" ref="AJ52">SUM($F$2:$F$59*($C$2:$C$59=$Q$6))</f>
        <v>0</v>
      </c>
      <c r="AK52" s="3">
        <f t="shared" si="4"/>
        <v>0</v>
      </c>
      <c r="AL52" s="3">
        <v>21.19</v>
      </c>
      <c r="AM52" s="2" cm="1">
        <f t="array" ref="AM52">SUM($F$2:$F$59*($C$2:$C$59=$Q$8))</f>
        <v>0</v>
      </c>
      <c r="AN52" s="3">
        <f t="shared" si="5"/>
        <v>0</v>
      </c>
      <c r="AO52" s="3">
        <f>SUM(J2:J59)</f>
        <v>1376.3100000000004</v>
      </c>
      <c r="AP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3986.4970450000005</v>
      </c>
      <c r="AQ52" s="3" cm="1">
        <f t="array" aca="1" ref="AQ52" ca="1">OFFSET(Table7[[#This Row],[Investment Increase]],0,-1)-SUM($J$2:$J$59*($E$2:$E$59=$Q$31))</f>
        <v>547.49704500000053</v>
      </c>
    </row>
    <row r="53" spans="1:43" x14ac:dyDescent="0.45">
      <c r="B53" s="1">
        <v>44541</v>
      </c>
      <c r="C53" t="s">
        <v>12</v>
      </c>
      <c r="D53">
        <v>316389303</v>
      </c>
      <c r="E53" t="s">
        <v>14</v>
      </c>
      <c r="F53" s="2">
        <v>6.9000000000000006E-2</v>
      </c>
      <c r="G53" s="3">
        <v>170.21</v>
      </c>
      <c r="J53" s="3">
        <v>-13</v>
      </c>
      <c r="V53" s="9">
        <v>44671</v>
      </c>
      <c r="W53" s="3">
        <v>169.62</v>
      </c>
      <c r="X53" s="2" cm="1">
        <f t="array" ref="X53">SUM($F$2:$F$59*($C$2:$C$59=$Q$2))</f>
        <v>4.3230000000000004</v>
      </c>
      <c r="Y53" s="3">
        <f t="shared" si="0"/>
        <v>733.26726000000008</v>
      </c>
      <c r="Z53" s="3">
        <v>150.94999999999999</v>
      </c>
      <c r="AA53" s="2" cm="1">
        <f t="array" ref="AA53">SUM($F$2:$F$59*($C$2:$C$59=$Q$3))</f>
        <v>5.8720999999999997</v>
      </c>
      <c r="AB53" s="3">
        <f t="shared" si="1"/>
        <v>886.39349499999992</v>
      </c>
      <c r="AC53" s="3">
        <v>16.440000000000001</v>
      </c>
      <c r="AD53" s="2" cm="1">
        <f t="array" ref="AD53">SUM($F$2:$F$59*($C$2:$C$59=$Q$4))</f>
        <v>21.983000000000001</v>
      </c>
      <c r="AE53" s="3">
        <f t="shared" si="2"/>
        <v>361.40052000000003</v>
      </c>
      <c r="AF53" s="3">
        <v>15.72</v>
      </c>
      <c r="AG53" s="2" cm="1">
        <f t="array" ref="AG53">SUM($F$2:$F$59*($C$2:$C$59=$Q$5))</f>
        <v>43.772999999999996</v>
      </c>
      <c r="AH53" s="3">
        <f t="shared" si="3"/>
        <v>688.11155999999994</v>
      </c>
      <c r="AI53" s="3">
        <v>20.7</v>
      </c>
      <c r="AJ53" s="2" cm="1">
        <f t="array" ref="AJ53">SUM($F$2:$F$59*($C$2:$C$59=$Q$6))</f>
        <v>0</v>
      </c>
      <c r="AK53" s="3">
        <f t="shared" si="4"/>
        <v>0</v>
      </c>
      <c r="AL53" s="3">
        <v>22.17</v>
      </c>
      <c r="AM53" s="2" cm="1">
        <f t="array" ref="AM53">SUM($F$2:$F$59*($C$2:$C$59=$Q$8))</f>
        <v>0</v>
      </c>
      <c r="AN53" s="3">
        <f t="shared" si="5"/>
        <v>0</v>
      </c>
      <c r="AO53" s="3">
        <f>SUM(J2:J59)</f>
        <v>1376.3100000000004</v>
      </c>
      <c r="AP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4045.4828350000003</v>
      </c>
      <c r="AQ53" s="3" cm="1">
        <f t="array" aca="1" ref="AQ53" ca="1">OFFSET(Table7[[#This Row],[Investment Increase]],0,-1)-SUM($J$2:$J$59*($E$2:$E$59=$Q$31))</f>
        <v>606.48283500000025</v>
      </c>
    </row>
    <row r="54" spans="1:43" x14ac:dyDescent="0.45">
      <c r="B54" s="1">
        <v>44542</v>
      </c>
      <c r="C54" t="s">
        <v>12</v>
      </c>
      <c r="D54">
        <v>316389303</v>
      </c>
      <c r="E54" t="s">
        <v>16</v>
      </c>
      <c r="J54" s="3">
        <v>11</v>
      </c>
      <c r="V54" s="9">
        <v>44670</v>
      </c>
      <c r="W54" s="3">
        <v>171.71</v>
      </c>
      <c r="X54" s="2" cm="1">
        <f t="array" ref="X54">SUM($F$2:$F$59*($C$2:$C$59=$Q$2))</f>
        <v>4.3230000000000004</v>
      </c>
      <c r="Y54" s="3">
        <f t="shared" si="0"/>
        <v>742.3023300000001</v>
      </c>
      <c r="Z54" s="3">
        <v>153.81</v>
      </c>
      <c r="AA54" s="2" cm="1">
        <f t="array" ref="AA54">SUM($F$2:$F$59*($C$2:$C$59=$Q$3))</f>
        <v>5.8720999999999997</v>
      </c>
      <c r="AB54" s="3">
        <f t="shared" si="1"/>
        <v>903.18770099999995</v>
      </c>
      <c r="AC54" s="3">
        <v>16.7</v>
      </c>
      <c r="AD54" s="2" cm="1">
        <f t="array" ref="AD54">SUM($F$2:$F$59*($C$2:$C$59=$Q$4))</f>
        <v>21.983000000000001</v>
      </c>
      <c r="AE54" s="3">
        <f t="shared" si="2"/>
        <v>367.11610000000002</v>
      </c>
      <c r="AF54" s="3">
        <v>15.74</v>
      </c>
      <c r="AG54" s="2" cm="1">
        <f t="array" ref="AG54">SUM($F$2:$F$59*($C$2:$C$59=$Q$5))</f>
        <v>43.772999999999996</v>
      </c>
      <c r="AH54" s="3">
        <f t="shared" si="3"/>
        <v>688.98701999999992</v>
      </c>
      <c r="AI54" s="3">
        <v>20.68</v>
      </c>
      <c r="AJ54" s="2" cm="1">
        <f t="array" ref="AJ54">SUM($F$2:$F$59*($C$2:$C$59=$Q$6))</f>
        <v>0</v>
      </c>
      <c r="AK54" s="3">
        <f t="shared" si="4"/>
        <v>0</v>
      </c>
      <c r="AL54" s="3">
        <v>22.11</v>
      </c>
      <c r="AM54" s="2" cm="1">
        <f t="array" ref="AM54">SUM($F$2:$F$59*($C$2:$C$59=$Q$8))</f>
        <v>0</v>
      </c>
      <c r="AN54" s="3">
        <f t="shared" si="5"/>
        <v>0</v>
      </c>
      <c r="AO54" s="3">
        <f>SUM(J2:J59)</f>
        <v>1376.3100000000004</v>
      </c>
      <c r="AP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4077.9031510000004</v>
      </c>
      <c r="AQ54" s="3" cm="1">
        <f t="array" aca="1" ref="AQ54" ca="1">OFFSET(Table7[[#This Row],[Investment Increase]],0,-1)-SUM($J$2:$J$59*($E$2:$E$59=$Q$31))</f>
        <v>638.90315100000043</v>
      </c>
    </row>
    <row r="55" spans="1:43" x14ac:dyDescent="0.45">
      <c r="B55" s="1">
        <v>44543</v>
      </c>
      <c r="C55" t="s">
        <v>10</v>
      </c>
      <c r="D55">
        <v>316389105</v>
      </c>
      <c r="E55" t="s">
        <v>14</v>
      </c>
      <c r="F55" s="2">
        <v>0.61299999999999999</v>
      </c>
      <c r="G55" s="3">
        <v>18.93</v>
      </c>
      <c r="J55" s="3">
        <v>-12</v>
      </c>
      <c r="V55" s="9">
        <v>44669</v>
      </c>
      <c r="W55" s="3">
        <v>168.09</v>
      </c>
      <c r="X55" s="2" cm="1">
        <f t="array" ref="X55">SUM($F$2:$F$59*($C$2:$C$59=$Q$2))</f>
        <v>4.3230000000000004</v>
      </c>
      <c r="Y55" s="3">
        <f t="shared" si="0"/>
        <v>726.65307000000007</v>
      </c>
      <c r="Z55" s="3">
        <v>150.19</v>
      </c>
      <c r="AA55" s="2" cm="1">
        <f t="array" ref="AA55">SUM($F$2:$F$59*($C$2:$C$59=$Q$3))</f>
        <v>5.8720999999999997</v>
      </c>
      <c r="AB55" s="3">
        <f t="shared" si="1"/>
        <v>881.93069899999989</v>
      </c>
      <c r="AC55" s="3">
        <v>16.36</v>
      </c>
      <c r="AD55" s="2" cm="1">
        <f t="array" ref="AD55">SUM($F$2:$F$59*($C$2:$C$59=$Q$4))</f>
        <v>21.983000000000001</v>
      </c>
      <c r="AE55" s="3">
        <f t="shared" si="2"/>
        <v>359.64188000000001</v>
      </c>
      <c r="AF55" s="3">
        <v>15.48</v>
      </c>
      <c r="AG55" s="2" cm="1">
        <f t="array" ref="AG55">SUM($F$2:$F$59*($C$2:$C$59=$Q$5))</f>
        <v>43.772999999999996</v>
      </c>
      <c r="AH55" s="3">
        <f t="shared" si="3"/>
        <v>677.60604000000001</v>
      </c>
      <c r="AI55" s="3">
        <v>20.37</v>
      </c>
      <c r="AJ55" s="2" cm="1">
        <f t="array" ref="AJ55">SUM($F$2:$F$59*($C$2:$C$59=$Q$6))</f>
        <v>0</v>
      </c>
      <c r="AK55" s="3">
        <f t="shared" si="4"/>
        <v>0</v>
      </c>
      <c r="AL55" s="3">
        <v>22.3</v>
      </c>
      <c r="AM55" s="2" cm="1">
        <f t="array" ref="AM55">SUM($F$2:$F$59*($C$2:$C$59=$Q$8))</f>
        <v>0</v>
      </c>
      <c r="AN55" s="3">
        <f t="shared" si="5"/>
        <v>0</v>
      </c>
      <c r="AO55" s="3">
        <f>SUM(J2:J59)</f>
        <v>1376.3100000000004</v>
      </c>
      <c r="AP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4022.1416890000005</v>
      </c>
      <c r="AQ55" s="3" cm="1">
        <f t="array" aca="1" ref="AQ55" ca="1">OFFSET(Table7[[#This Row],[Investment Increase]],0,-1)-SUM($J$2:$J$59*($E$2:$E$59=$Q$31))</f>
        <v>583.1416890000005</v>
      </c>
    </row>
    <row r="56" spans="1:43" x14ac:dyDescent="0.45">
      <c r="B56" s="1">
        <v>44544</v>
      </c>
      <c r="C56" t="s">
        <v>10</v>
      </c>
      <c r="D56">
        <v>316389105</v>
      </c>
      <c r="E56" t="s">
        <v>16</v>
      </c>
      <c r="J56" s="3">
        <v>11</v>
      </c>
      <c r="V56" s="9">
        <v>44665</v>
      </c>
      <c r="W56" s="3">
        <v>168.32</v>
      </c>
      <c r="X56" s="2" cm="1">
        <f t="array" ref="X56">SUM($F$2:$F$59*($C$2:$C$59=$Q$2))</f>
        <v>4.3230000000000004</v>
      </c>
      <c r="Y56" s="3">
        <f t="shared" si="0"/>
        <v>727.64736000000005</v>
      </c>
      <c r="Z56" s="3">
        <v>150.36000000000001</v>
      </c>
      <c r="AA56" s="2" cm="1">
        <f t="array" ref="AA56">SUM($F$2:$F$59*($C$2:$C$59=$Q$3))</f>
        <v>5.8720999999999997</v>
      </c>
      <c r="AB56" s="3">
        <f t="shared" si="1"/>
        <v>882.92895600000008</v>
      </c>
      <c r="AC56" s="3">
        <v>16.36</v>
      </c>
      <c r="AD56" s="2" cm="1">
        <f t="array" ref="AD56">SUM($F$2:$F$59*($C$2:$C$59=$Q$4))</f>
        <v>21.983000000000001</v>
      </c>
      <c r="AE56" s="3">
        <f t="shared" si="2"/>
        <v>359.64188000000001</v>
      </c>
      <c r="AF56" s="3">
        <v>15.5</v>
      </c>
      <c r="AG56" s="2" cm="1">
        <f t="array" ref="AG56">SUM($F$2:$F$59*($C$2:$C$59=$Q$5))</f>
        <v>43.772999999999996</v>
      </c>
      <c r="AH56" s="3">
        <f t="shared" si="3"/>
        <v>678.48149999999998</v>
      </c>
      <c r="AI56" s="3">
        <v>20.34</v>
      </c>
      <c r="AJ56" s="2" cm="1">
        <f t="array" ref="AJ56">SUM($F$2:$F$59*($C$2:$C$59=$Q$6))</f>
        <v>0</v>
      </c>
      <c r="AK56" s="3">
        <f t="shared" si="4"/>
        <v>0</v>
      </c>
      <c r="AL56" s="3">
        <v>22.06</v>
      </c>
      <c r="AM56" s="2" cm="1">
        <f t="array" ref="AM56">SUM($F$2:$F$59*($C$2:$C$59=$Q$8))</f>
        <v>0</v>
      </c>
      <c r="AN56" s="3">
        <f t="shared" si="5"/>
        <v>0</v>
      </c>
      <c r="AO56" s="3">
        <f>SUM(J2:J59)</f>
        <v>1376.3100000000004</v>
      </c>
      <c r="AP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4025.0096960000005</v>
      </c>
      <c r="AQ56" s="3" cm="1">
        <f t="array" aca="1" ref="AQ56" ca="1">OFFSET(Table7[[#This Row],[Investment Increase]],0,-1)-SUM($J$2:$J$59*($E$2:$E$59=$Q$31))</f>
        <v>586.00969600000053</v>
      </c>
    </row>
    <row r="57" spans="1:43" x14ac:dyDescent="0.45">
      <c r="B57" s="1">
        <v>44545</v>
      </c>
      <c r="C57" t="s">
        <v>10</v>
      </c>
      <c r="D57">
        <v>316389105</v>
      </c>
      <c r="E57" t="s">
        <v>17</v>
      </c>
      <c r="J57" s="3">
        <v>0.79</v>
      </c>
      <c r="V57" s="9">
        <v>44664</v>
      </c>
      <c r="W57" s="3">
        <v>172.02</v>
      </c>
      <c r="X57" s="2" cm="1">
        <f t="array" ref="X57">SUM($F$2:$F$59*($C$2:$C$59=$Q$2))</f>
        <v>4.3230000000000004</v>
      </c>
      <c r="Y57" s="3">
        <f t="shared" si="0"/>
        <v>743.64246000000014</v>
      </c>
      <c r="Z57" s="3">
        <v>153.49</v>
      </c>
      <c r="AA57" s="2" cm="1">
        <f t="array" ref="AA57">SUM($F$2:$F$59*($C$2:$C$59=$Q$3))</f>
        <v>5.8720999999999997</v>
      </c>
      <c r="AB57" s="3">
        <f t="shared" si="1"/>
        <v>901.308629</v>
      </c>
      <c r="AC57" s="3">
        <v>16.72</v>
      </c>
      <c r="AD57" s="2" cm="1">
        <f t="array" ref="AD57">SUM($F$2:$F$59*($C$2:$C$59=$Q$4))</f>
        <v>21.983000000000001</v>
      </c>
      <c r="AE57" s="3">
        <f t="shared" si="2"/>
        <v>367.55575999999996</v>
      </c>
      <c r="AF57" s="3">
        <v>15.7</v>
      </c>
      <c r="AG57" s="2" cm="1">
        <f t="array" ref="AG57">SUM($F$2:$F$59*($C$2:$C$59=$Q$5))</f>
        <v>43.772999999999996</v>
      </c>
      <c r="AH57" s="3">
        <f t="shared" si="3"/>
        <v>687.23609999999996</v>
      </c>
      <c r="AI57" s="3">
        <v>20.57</v>
      </c>
      <c r="AJ57" s="2" cm="1">
        <f t="array" ref="AJ57">SUM($F$2:$F$59*($C$2:$C$59=$Q$6))</f>
        <v>0</v>
      </c>
      <c r="AK57" s="3">
        <f t="shared" si="4"/>
        <v>0</v>
      </c>
      <c r="AL57" s="3">
        <v>21.99</v>
      </c>
      <c r="AM57" s="2" cm="1">
        <f t="array" ref="AM57">SUM($F$2:$F$59*($C$2:$C$59=$Q$8))</f>
        <v>0</v>
      </c>
      <c r="AN57" s="3">
        <f t="shared" si="5"/>
        <v>0</v>
      </c>
      <c r="AO57" s="3">
        <f>SUM(J2:J59)</f>
        <v>1376.3100000000004</v>
      </c>
      <c r="AP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4076.0529490000004</v>
      </c>
      <c r="AQ57" s="3" cm="1">
        <f t="array" aca="1" ref="AQ57" ca="1">OFFSET(Table7[[#This Row],[Investment Increase]],0,-1)-SUM($J$2:$J$59*($E$2:$E$59=$Q$31))</f>
        <v>637.05294900000035</v>
      </c>
    </row>
    <row r="58" spans="1:43" x14ac:dyDescent="0.45">
      <c r="B58" s="1">
        <v>44550</v>
      </c>
      <c r="C58" t="s">
        <v>8</v>
      </c>
      <c r="D58">
        <v>315912709</v>
      </c>
      <c r="E58" t="s">
        <v>14</v>
      </c>
      <c r="F58" s="2">
        <v>0.39100000000000001</v>
      </c>
      <c r="G58" s="3">
        <v>200</v>
      </c>
      <c r="J58" s="3">
        <v>-4.2699999999999996</v>
      </c>
      <c r="V58" s="9">
        <v>44663</v>
      </c>
      <c r="W58" s="3">
        <v>168.6</v>
      </c>
      <c r="X58" s="2" cm="1">
        <f t="array" ref="X58">SUM($F$2:$F$59*($C$2:$C$59=$Q$2))</f>
        <v>4.3230000000000004</v>
      </c>
      <c r="Y58" s="3">
        <f t="shared" si="0"/>
        <v>728.8578</v>
      </c>
      <c r="Z58" s="3">
        <v>149.85</v>
      </c>
      <c r="AA58" s="2" cm="1">
        <f t="array" ref="AA58">SUM($F$2:$F$59*($C$2:$C$59=$Q$3))</f>
        <v>5.8720999999999997</v>
      </c>
      <c r="AB58" s="3">
        <f t="shared" si="1"/>
        <v>879.93418499999996</v>
      </c>
      <c r="AC58" s="3">
        <v>16.399999999999999</v>
      </c>
      <c r="AD58" s="2" cm="1">
        <f t="array" ref="AD58">SUM($F$2:$F$59*($C$2:$C$59=$Q$4))</f>
        <v>21.983000000000001</v>
      </c>
      <c r="AE58" s="3">
        <f t="shared" si="2"/>
        <v>360.52119999999996</v>
      </c>
      <c r="AF58" s="3">
        <v>15.51</v>
      </c>
      <c r="AG58" s="2" cm="1">
        <f t="array" ref="AG58">SUM($F$2:$F$59*($C$2:$C$59=$Q$5))</f>
        <v>43.772999999999996</v>
      </c>
      <c r="AH58" s="3">
        <f t="shared" si="3"/>
        <v>678.91922999999997</v>
      </c>
      <c r="AI58" s="3">
        <v>20.329999999999998</v>
      </c>
      <c r="AJ58" s="2" cm="1">
        <f t="array" ref="AJ58">SUM($F$2:$F$59*($C$2:$C$59=$Q$6))</f>
        <v>0</v>
      </c>
      <c r="AK58" s="3">
        <f t="shared" si="4"/>
        <v>0</v>
      </c>
      <c r="AL58" s="3">
        <v>21.65</v>
      </c>
      <c r="AM58" s="2" cm="1">
        <f t="array" ref="AM58">SUM($F$2:$F$59*($C$2:$C$59=$Q$8))</f>
        <v>0</v>
      </c>
      <c r="AN58" s="3">
        <f t="shared" si="5"/>
        <v>0</v>
      </c>
      <c r="AO58" s="3">
        <f>SUM(J2:J59)</f>
        <v>1376.3100000000004</v>
      </c>
      <c r="AP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4024.5424149999999</v>
      </c>
      <c r="AQ58" s="3" cm="1">
        <f t="array" aca="1" ref="AQ58" ca="1">OFFSET(Table7[[#This Row],[Investment Increase]],0,-1)-SUM($J$2:$J$59*($E$2:$E$59=$Q$31))</f>
        <v>585.54241499999989</v>
      </c>
    </row>
    <row r="59" spans="1:43" x14ac:dyDescent="0.45">
      <c r="B59" s="1">
        <v>44552</v>
      </c>
      <c r="C59" t="s">
        <v>8</v>
      </c>
      <c r="D59">
        <v>315912709</v>
      </c>
      <c r="E59" t="s">
        <v>15</v>
      </c>
      <c r="J59" s="3">
        <v>4.2699999999999996</v>
      </c>
      <c r="V59" s="9">
        <v>44662</v>
      </c>
      <c r="W59" s="3">
        <v>169.12</v>
      </c>
      <c r="X59" s="2" cm="1">
        <f t="array" ref="X59">SUM($F$2:$F$59*($C$2:$C$59=$Q$2))</f>
        <v>4.3230000000000004</v>
      </c>
      <c r="Y59" s="3">
        <f t="shared" si="0"/>
        <v>731.10576000000003</v>
      </c>
      <c r="Z59" s="3">
        <v>150.18</v>
      </c>
      <c r="AA59" s="2" cm="1">
        <f t="array" ref="AA59">SUM($F$2:$F$59*($C$2:$C$59=$Q$3))</f>
        <v>5.8720999999999997</v>
      </c>
      <c r="AB59" s="3">
        <f t="shared" si="1"/>
        <v>881.87197800000001</v>
      </c>
      <c r="AC59" s="3">
        <v>16.47</v>
      </c>
      <c r="AD59" s="2" cm="1">
        <f t="array" ref="AD59">SUM($F$2:$F$59*($C$2:$C$59=$Q$4))</f>
        <v>21.983000000000001</v>
      </c>
      <c r="AE59" s="3">
        <f t="shared" si="2"/>
        <v>362.06000999999998</v>
      </c>
      <c r="AF59" s="3">
        <v>15.56</v>
      </c>
      <c r="AG59" s="2" cm="1">
        <f t="array" ref="AG59">SUM($F$2:$F$59*($C$2:$C$59=$Q$5))</f>
        <v>43.772999999999996</v>
      </c>
      <c r="AH59" s="3">
        <f t="shared" si="3"/>
        <v>681.10787999999991</v>
      </c>
      <c r="AI59" s="3">
        <v>20.36</v>
      </c>
      <c r="AJ59" s="2" cm="1">
        <f t="array" ref="AJ59">SUM($F$2:$F$59*($C$2:$C$59=$Q$6))</f>
        <v>0</v>
      </c>
      <c r="AK59" s="3">
        <f t="shared" si="4"/>
        <v>0</v>
      </c>
      <c r="AL59" s="3">
        <v>21.42</v>
      </c>
      <c r="AM59" s="2" cm="1">
        <f t="array" ref="AM59">SUM($F$2:$F$59*($C$2:$C$59=$Q$8))</f>
        <v>0</v>
      </c>
      <c r="AN59" s="3">
        <f t="shared" si="5"/>
        <v>0</v>
      </c>
      <c r="AO59" s="3">
        <f>SUM(J2:J59)</f>
        <v>1376.3100000000004</v>
      </c>
      <c r="AP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4032.4556280000002</v>
      </c>
      <c r="AQ59" s="3" cm="1">
        <f t="array" aca="1" ref="AQ59" ca="1">OFFSET(Table7[[#This Row],[Investment Increase]],0,-1)-SUM($J$2:$J$59*($E$2:$E$59=$Q$31))</f>
        <v>593.45562800000016</v>
      </c>
    </row>
    <row r="60" spans="1:43" x14ac:dyDescent="0.45">
      <c r="V60" s="9">
        <v>44659</v>
      </c>
      <c r="W60" s="3">
        <v>172.9</v>
      </c>
      <c r="X60" s="2" cm="1">
        <f t="array" ref="X60">SUM($F$2:$F$59*($C$2:$C$59=$Q$2))</f>
        <v>4.3230000000000004</v>
      </c>
      <c r="Y60" s="3">
        <f t="shared" si="0"/>
        <v>747.44670000000008</v>
      </c>
      <c r="Z60" s="3">
        <v>153.4</v>
      </c>
      <c r="AA60" s="2" cm="1">
        <f t="array" ref="AA60">SUM($F$2:$F$59*($C$2:$C$59=$Q$3))</f>
        <v>5.8720999999999997</v>
      </c>
      <c r="AB60" s="3">
        <f t="shared" si="1"/>
        <v>900.78013999999996</v>
      </c>
      <c r="AC60" s="3">
        <v>16.87</v>
      </c>
      <c r="AD60" s="2" cm="1">
        <f t="array" ref="AD60">SUM($F$2:$F$59*($C$2:$C$59=$Q$4))</f>
        <v>21.983000000000001</v>
      </c>
      <c r="AE60" s="3">
        <f t="shared" si="2"/>
        <v>370.85321000000005</v>
      </c>
      <c r="AF60" s="3">
        <v>15.83</v>
      </c>
      <c r="AG60" s="2" cm="1">
        <f t="array" ref="AG60">SUM($F$2:$F$59*($C$2:$C$59=$Q$5))</f>
        <v>43.772999999999996</v>
      </c>
      <c r="AH60" s="3">
        <f t="shared" si="3"/>
        <v>692.92658999999992</v>
      </c>
      <c r="AI60" s="3">
        <v>20.7</v>
      </c>
      <c r="AJ60" s="2" cm="1">
        <f t="array" ref="AJ60">SUM($F$2:$F$59*($C$2:$C$59=$Q$6))</f>
        <v>0</v>
      </c>
      <c r="AK60" s="3">
        <f t="shared" si="4"/>
        <v>0</v>
      </c>
      <c r="AL60" s="3">
        <v>21.73</v>
      </c>
      <c r="AM60" s="2" cm="1">
        <f t="array" ref="AM60">SUM($F$2:$F$59*($C$2:$C$59=$Q$8))</f>
        <v>0</v>
      </c>
      <c r="AN60" s="3">
        <f t="shared" si="5"/>
        <v>0</v>
      </c>
      <c r="AO60" s="3">
        <f>SUM(J2:J59)</f>
        <v>1376.3100000000004</v>
      </c>
      <c r="AP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4088.3166400000005</v>
      </c>
      <c r="AQ60" s="3" cm="1">
        <f t="array" aca="1" ref="AQ60" ca="1">OFFSET(Table7[[#This Row],[Investment Increase]],0,-1)-SUM($J$2:$J$59*($E$2:$E$59=$Q$31))</f>
        <v>649.31664000000046</v>
      </c>
    </row>
    <row r="61" spans="1:43" x14ac:dyDescent="0.45">
      <c r="V61" s="9">
        <v>44658</v>
      </c>
      <c r="W61" s="3">
        <v>175.24</v>
      </c>
      <c r="X61" s="2" cm="1">
        <f t="array" ref="X61">SUM($F$2:$F$59*($C$2:$C$59=$Q$2))</f>
        <v>4.3230000000000004</v>
      </c>
      <c r="Y61" s="3">
        <f t="shared" si="0"/>
        <v>757.56252000000006</v>
      </c>
      <c r="Z61" s="3">
        <v>155.46</v>
      </c>
      <c r="AA61" s="2" cm="1">
        <f t="array" ref="AA61">SUM($F$2:$F$59*($C$2:$C$59=$Q$3))</f>
        <v>5.8720999999999997</v>
      </c>
      <c r="AB61" s="3">
        <f t="shared" si="1"/>
        <v>912.876666</v>
      </c>
      <c r="AC61" s="3">
        <v>17.07</v>
      </c>
      <c r="AD61" s="2" cm="1">
        <f t="array" ref="AD61">SUM($F$2:$F$59*($C$2:$C$59=$Q$4))</f>
        <v>21.983000000000001</v>
      </c>
      <c r="AE61" s="3">
        <f t="shared" si="2"/>
        <v>375.24981000000002</v>
      </c>
      <c r="AF61" s="3">
        <v>15.88</v>
      </c>
      <c r="AG61" s="2" cm="1">
        <f t="array" ref="AG61">SUM($F$2:$F$59*($C$2:$C$59=$Q$5))</f>
        <v>43.772999999999996</v>
      </c>
      <c r="AH61" s="3">
        <f t="shared" si="3"/>
        <v>695.11523999999997</v>
      </c>
      <c r="AI61" s="3">
        <v>20.72</v>
      </c>
      <c r="AJ61" s="2" cm="1">
        <f t="array" ref="AJ61">SUM($F$2:$F$59*($C$2:$C$59=$Q$6))</f>
        <v>0</v>
      </c>
      <c r="AK61" s="3">
        <f t="shared" si="4"/>
        <v>0</v>
      </c>
      <c r="AL61" s="3">
        <v>21.36</v>
      </c>
      <c r="AM61" s="2" cm="1">
        <f t="array" ref="AM61">SUM($F$2:$F$59*($C$2:$C$59=$Q$8))</f>
        <v>0</v>
      </c>
      <c r="AN61" s="3">
        <f t="shared" si="5"/>
        <v>0</v>
      </c>
      <c r="AO61" s="3">
        <f>SUM(J2:J59)</f>
        <v>1376.3100000000004</v>
      </c>
      <c r="AP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4117.1142360000003</v>
      </c>
      <c r="AQ61" s="3" cm="1">
        <f t="array" aca="1" ref="AQ61" ca="1">OFFSET(Table7[[#This Row],[Investment Increase]],0,-1)-SUM($J$2:$J$59*($E$2:$E$59=$Q$31))</f>
        <v>678.11423600000035</v>
      </c>
    </row>
    <row r="62" spans="1:43" x14ac:dyDescent="0.45">
      <c r="V62" s="9">
        <v>44657</v>
      </c>
      <c r="W62" s="3">
        <v>175.12</v>
      </c>
      <c r="X62" s="2" cm="1">
        <f t="array" ref="X62">SUM($F$2:$F$59*($C$2:$C$59=$Q$2))</f>
        <v>4.3230000000000004</v>
      </c>
      <c r="Y62" s="3">
        <f t="shared" si="0"/>
        <v>757.04376000000013</v>
      </c>
      <c r="Z62" s="3">
        <v>155.65</v>
      </c>
      <c r="AA62" s="2" cm="1">
        <f t="array" ref="AA62">SUM($F$2:$F$59*($C$2:$C$59=$Q$3))</f>
        <v>5.8720999999999997</v>
      </c>
      <c r="AB62" s="3">
        <f t="shared" si="1"/>
        <v>913.99236499999995</v>
      </c>
      <c r="AC62" s="3">
        <v>17.100000000000001</v>
      </c>
      <c r="AD62" s="2" cm="1">
        <f t="array" ref="AD62">SUM($F$2:$F$59*($C$2:$C$59=$Q$4))</f>
        <v>21.983000000000001</v>
      </c>
      <c r="AE62" s="3">
        <f t="shared" si="2"/>
        <v>375.90930000000003</v>
      </c>
      <c r="AF62" s="3">
        <v>15.81</v>
      </c>
      <c r="AG62" s="2" cm="1">
        <f t="array" ref="AG62">SUM($F$2:$F$59*($C$2:$C$59=$Q$5))</f>
        <v>43.772999999999996</v>
      </c>
      <c r="AH62" s="3">
        <f t="shared" si="3"/>
        <v>692.05112999999994</v>
      </c>
      <c r="AI62" s="3">
        <v>20.6</v>
      </c>
      <c r="AJ62" s="2" cm="1">
        <f t="array" ref="AJ62">SUM($F$2:$F$59*($C$2:$C$59=$Q$6))</f>
        <v>0</v>
      </c>
      <c r="AK62" s="3">
        <f t="shared" si="4"/>
        <v>0</v>
      </c>
      <c r="AL62" s="3">
        <v>21.11</v>
      </c>
      <c r="AM62" s="2" cm="1">
        <f t="array" ref="AM62">SUM($F$2:$F$59*($C$2:$C$59=$Q$8))</f>
        <v>0</v>
      </c>
      <c r="AN62" s="3">
        <f t="shared" si="5"/>
        <v>0</v>
      </c>
      <c r="AO62" s="3">
        <f>SUM(J2:J59)</f>
        <v>1376.3100000000004</v>
      </c>
      <c r="AP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4115.306555000001</v>
      </c>
      <c r="AQ62" s="3" cm="1">
        <f t="array" aca="1" ref="AQ62" ca="1">OFFSET(Table7[[#This Row],[Investment Increase]],0,-1)-SUM($J$2:$J$59*($E$2:$E$59=$Q$31))</f>
        <v>676.30655500000103</v>
      </c>
    </row>
    <row r="63" spans="1:43" x14ac:dyDescent="0.45">
      <c r="V63" s="9">
        <v>44656</v>
      </c>
      <c r="W63" s="3">
        <v>179.09</v>
      </c>
      <c r="X63" s="2" cm="1">
        <f t="array" ref="X63">SUM($F$2:$F$59*($C$2:$C$59=$Q$2))</f>
        <v>4.3230000000000004</v>
      </c>
      <c r="Y63" s="3">
        <f t="shared" si="0"/>
        <v>774.20607000000007</v>
      </c>
      <c r="Z63" s="3">
        <v>160.12</v>
      </c>
      <c r="AA63" s="2" cm="1">
        <f t="array" ref="AA63">SUM($F$2:$F$59*($C$2:$C$59=$Q$3))</f>
        <v>5.8720999999999997</v>
      </c>
      <c r="AB63" s="3">
        <f t="shared" si="1"/>
        <v>940.24065199999995</v>
      </c>
      <c r="AC63" s="3">
        <v>17.53</v>
      </c>
      <c r="AD63" s="2" cm="1">
        <f t="array" ref="AD63">SUM($F$2:$F$59*($C$2:$C$59=$Q$4))</f>
        <v>21.983000000000001</v>
      </c>
      <c r="AE63" s="3">
        <f t="shared" si="2"/>
        <v>385.36199000000005</v>
      </c>
      <c r="AF63" s="3">
        <v>15.99</v>
      </c>
      <c r="AG63" s="2" cm="1">
        <f t="array" ref="AG63">SUM($F$2:$F$59*($C$2:$C$59=$Q$5))</f>
        <v>43.772999999999996</v>
      </c>
      <c r="AH63" s="3">
        <f t="shared" si="3"/>
        <v>699.93026999999995</v>
      </c>
      <c r="AI63" s="3">
        <v>20.82</v>
      </c>
      <c r="AJ63" s="2" cm="1">
        <f t="array" ref="AJ63">SUM($F$2:$F$59*($C$2:$C$59=$Q$6))</f>
        <v>0</v>
      </c>
      <c r="AK63" s="3">
        <f t="shared" si="4"/>
        <v>0</v>
      </c>
      <c r="AL63" s="3">
        <v>21.12</v>
      </c>
      <c r="AM63" s="2" cm="1">
        <f t="array" ref="AM63">SUM($F$2:$F$59*($C$2:$C$59=$Q$8))</f>
        <v>0</v>
      </c>
      <c r="AN63" s="3">
        <f t="shared" si="5"/>
        <v>0</v>
      </c>
      <c r="AO63" s="3">
        <f>SUM(J2:J59)</f>
        <v>1376.3100000000004</v>
      </c>
      <c r="AP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4176.0489820000003</v>
      </c>
      <c r="AQ63" s="3" cm="1">
        <f t="array" aca="1" ref="AQ63" ca="1">OFFSET(Table7[[#This Row],[Investment Increase]],0,-1)-SUM($J$2:$J$59*($E$2:$E$59=$Q$31))</f>
        <v>737.04898200000025</v>
      </c>
    </row>
    <row r="64" spans="1:43" x14ac:dyDescent="0.45">
      <c r="V64" s="9">
        <v>44655</v>
      </c>
      <c r="W64" s="3">
        <v>183.14</v>
      </c>
      <c r="X64" s="2" cm="1">
        <f t="array" ref="X64">SUM($F$2:$F$59*($C$2:$C$59=$Q$2))</f>
        <v>4.3230000000000004</v>
      </c>
      <c r="Y64" s="3">
        <f t="shared" si="0"/>
        <v>791.71422000000007</v>
      </c>
      <c r="Z64" s="3">
        <v>164.51</v>
      </c>
      <c r="AA64" s="2" cm="1">
        <f t="array" ref="AA64">SUM($F$2:$F$59*($C$2:$C$59=$Q$3))</f>
        <v>5.8720999999999997</v>
      </c>
      <c r="AB64" s="3">
        <f t="shared" si="1"/>
        <v>966.01917099999991</v>
      </c>
      <c r="AC64" s="3">
        <v>17.920000000000002</v>
      </c>
      <c r="AD64" s="2" cm="1">
        <f t="array" ref="AD64">SUM($F$2:$F$59*($C$2:$C$59=$Q$4))</f>
        <v>21.983000000000001</v>
      </c>
      <c r="AE64" s="3">
        <f t="shared" si="2"/>
        <v>393.93536000000006</v>
      </c>
      <c r="AF64" s="3">
        <v>16.2</v>
      </c>
      <c r="AG64" s="2" cm="1">
        <f t="array" ref="AG64">SUM($F$2:$F$59*($C$2:$C$59=$Q$5))</f>
        <v>43.772999999999996</v>
      </c>
      <c r="AH64" s="3">
        <f t="shared" si="3"/>
        <v>709.12259999999992</v>
      </c>
      <c r="AI64" s="3">
        <v>21.09</v>
      </c>
      <c r="AJ64" s="2" cm="1">
        <f t="array" ref="AJ64">SUM($F$2:$F$59*($C$2:$C$59=$Q$6))</f>
        <v>0</v>
      </c>
      <c r="AK64" s="3">
        <f t="shared" si="4"/>
        <v>0</v>
      </c>
      <c r="AL64" s="3">
        <v>21.39</v>
      </c>
      <c r="AM64" s="2" cm="1">
        <f t="array" ref="AM64">SUM($F$2:$F$59*($C$2:$C$59=$Q$8))</f>
        <v>0</v>
      </c>
      <c r="AN64" s="3">
        <f t="shared" si="5"/>
        <v>0</v>
      </c>
      <c r="AO64" s="3">
        <f>SUM(J2:J59)</f>
        <v>1376.3100000000004</v>
      </c>
      <c r="AP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4237.1013510000002</v>
      </c>
      <c r="AQ64" s="3" cm="1">
        <f t="array" aca="1" ref="AQ64" ca="1">OFFSET(Table7[[#This Row],[Investment Increase]],0,-1)-SUM($J$2:$J$59*($E$2:$E$59=$Q$31))</f>
        <v>798.10135100000025</v>
      </c>
    </row>
    <row r="65" spans="22:43" x14ac:dyDescent="0.45">
      <c r="V65" s="9">
        <v>44652</v>
      </c>
      <c r="W65" s="3">
        <v>179.73</v>
      </c>
      <c r="X65" s="2" cm="1">
        <f t="array" ref="X65">SUM($F$2:$F$59*($C$2:$C$59=$Q$2))</f>
        <v>4.3230000000000004</v>
      </c>
      <c r="Y65" s="3">
        <f t="shared" si="0"/>
        <v>776.97279000000003</v>
      </c>
      <c r="Z65" s="3">
        <v>160.68</v>
      </c>
      <c r="AA65" s="2" cm="1">
        <f t="array" ref="AA65">SUM($F$2:$F$59*($C$2:$C$59=$Q$3))</f>
        <v>5.8720999999999997</v>
      </c>
      <c r="AB65" s="3">
        <f t="shared" si="1"/>
        <v>943.52902800000004</v>
      </c>
      <c r="AC65" s="3">
        <v>17.48</v>
      </c>
      <c r="AD65" s="2" cm="1">
        <f t="array" ref="AD65">SUM($F$2:$F$59*($C$2:$C$59=$Q$4))</f>
        <v>21.983000000000001</v>
      </c>
      <c r="AE65" s="3">
        <f t="shared" si="2"/>
        <v>384.26284000000004</v>
      </c>
      <c r="AF65" s="3">
        <v>16.059999999999999</v>
      </c>
      <c r="AG65" s="2" cm="1">
        <f t="array" ref="AG65">SUM($F$2:$F$59*($C$2:$C$59=$Q$5))</f>
        <v>43.772999999999996</v>
      </c>
      <c r="AH65" s="3">
        <f t="shared" si="3"/>
        <v>702.99437999999986</v>
      </c>
      <c r="AI65" s="3">
        <v>20.92</v>
      </c>
      <c r="AJ65" s="2" cm="1">
        <f t="array" ref="AJ65">SUM($F$2:$F$59*($C$2:$C$59=$Q$6))</f>
        <v>0</v>
      </c>
      <c r="AK65" s="3">
        <f t="shared" si="4"/>
        <v>0</v>
      </c>
      <c r="AL65" s="3">
        <v>21.37</v>
      </c>
      <c r="AM65" s="2" cm="1">
        <f t="array" ref="AM65">SUM($F$2:$F$59*($C$2:$C$59=$Q$8))</f>
        <v>0</v>
      </c>
      <c r="AN65" s="3">
        <f t="shared" si="5"/>
        <v>0</v>
      </c>
      <c r="AO65" s="3">
        <f>SUM(J2:J59)</f>
        <v>1376.3100000000004</v>
      </c>
      <c r="AP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4184.0690380000005</v>
      </c>
      <c r="AQ65" s="3" cm="1">
        <f t="array" aca="1" ref="AQ65" ca="1">OFFSET(Table7[[#This Row],[Investment Increase]],0,-1)-SUM($J$2:$J$59*($E$2:$E$59=$Q$31))</f>
        <v>745.06903800000055</v>
      </c>
    </row>
    <row r="66" spans="22:43" x14ac:dyDescent="0.45">
      <c r="V66" s="9">
        <v>44651</v>
      </c>
      <c r="W66" s="3">
        <v>179.22</v>
      </c>
      <c r="X66" s="2" cm="1">
        <f t="array" ref="X66">SUM($F$2:$F$59*($C$2:$C$59=$Q$2))</f>
        <v>4.3230000000000004</v>
      </c>
      <c r="Y66" s="3">
        <f t="shared" ref="Y66:Y129" si="6">PRODUCT(W66,X66)</f>
        <v>774.7680600000001</v>
      </c>
      <c r="Z66" s="3">
        <v>160.35</v>
      </c>
      <c r="AA66" s="2" cm="1">
        <f t="array" ref="AA66">SUM($F$2:$F$59*($C$2:$C$59=$Q$3))</f>
        <v>5.8720999999999997</v>
      </c>
      <c r="AB66" s="3">
        <f t="shared" ref="AB66:AB129" si="7">PRODUCT(Z66,AA66)</f>
        <v>941.59123499999987</v>
      </c>
      <c r="AC66" s="3">
        <v>17.37</v>
      </c>
      <c r="AD66" s="2" cm="1">
        <f t="array" ref="AD66">SUM($F$2:$F$59*($C$2:$C$59=$Q$4))</f>
        <v>21.983000000000001</v>
      </c>
      <c r="AE66" s="3">
        <f t="shared" ref="AE66:AE129" si="8">PRODUCT(AC66,AD66)</f>
        <v>381.84471000000002</v>
      </c>
      <c r="AF66" s="3">
        <v>16</v>
      </c>
      <c r="AG66" s="2" cm="1">
        <f t="array" ref="AG66">SUM($F$2:$F$59*($C$2:$C$59=$Q$5))</f>
        <v>43.772999999999996</v>
      </c>
      <c r="AH66" s="3">
        <f t="shared" ref="AH66:AH129" si="9">PRODUCT(AF66,AG66)</f>
        <v>700.36799999999994</v>
      </c>
      <c r="AI66" s="3">
        <v>20.86</v>
      </c>
      <c r="AJ66" s="2" cm="1">
        <f t="array" ref="AJ66">SUM($F$2:$F$59*($C$2:$C$59=$Q$6))</f>
        <v>0</v>
      </c>
      <c r="AK66" s="3">
        <f t="shared" ref="AK66:AK129" si="10">PRODUCT(AI66,AJ66)</f>
        <v>0</v>
      </c>
      <c r="AL66" s="3">
        <v>21.13</v>
      </c>
      <c r="AM66" s="2" cm="1">
        <f t="array" ref="AM66">SUM($F$2:$F$59*($C$2:$C$59=$Q$8))</f>
        <v>0</v>
      </c>
      <c r="AN66" s="3">
        <f t="shared" ref="AN66:AN129" si="11">PRODUCT(AL66,AM66)</f>
        <v>0</v>
      </c>
      <c r="AO66" s="3">
        <f>SUM(J2:J59)</f>
        <v>1376.3100000000004</v>
      </c>
      <c r="AP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4174.8820050000004</v>
      </c>
      <c r="AQ66" s="3" cm="1">
        <f t="array" aca="1" ref="AQ66" ca="1">OFFSET(Table7[[#This Row],[Investment Increase]],0,-1)-SUM($J$2:$J$59*($E$2:$E$59=$Q$31))</f>
        <v>735.88200500000039</v>
      </c>
    </row>
    <row r="67" spans="22:43" x14ac:dyDescent="0.45">
      <c r="V67" s="9">
        <v>44650</v>
      </c>
      <c r="W67" s="3">
        <v>182.01</v>
      </c>
      <c r="X67" s="2" cm="1">
        <f t="array" ref="X67">SUM($F$2:$F$59*($C$2:$C$59=$Q$2))</f>
        <v>4.3230000000000004</v>
      </c>
      <c r="Y67" s="3">
        <f t="shared" si="6"/>
        <v>786.82923000000005</v>
      </c>
      <c r="Z67" s="3">
        <v>163.41999999999999</v>
      </c>
      <c r="AA67" s="2" cm="1">
        <f t="array" ref="AA67">SUM($F$2:$F$59*($C$2:$C$59=$Q$3))</f>
        <v>5.8720999999999997</v>
      </c>
      <c r="AB67" s="3">
        <f t="shared" si="7"/>
        <v>959.61858199999983</v>
      </c>
      <c r="AC67" s="3">
        <v>17.68</v>
      </c>
      <c r="AD67" s="2" cm="1">
        <f t="array" ref="AD67">SUM($F$2:$F$59*($C$2:$C$59=$Q$4))</f>
        <v>21.983000000000001</v>
      </c>
      <c r="AE67" s="3">
        <f t="shared" si="8"/>
        <v>388.65944000000002</v>
      </c>
      <c r="AF67" s="3">
        <v>16.25</v>
      </c>
      <c r="AG67" s="2" cm="1">
        <f t="array" ref="AG67">SUM($F$2:$F$59*($C$2:$C$59=$Q$5))</f>
        <v>43.772999999999996</v>
      </c>
      <c r="AH67" s="3">
        <f t="shared" si="9"/>
        <v>711.31124999999997</v>
      </c>
      <c r="AI67" s="3">
        <v>21.19</v>
      </c>
      <c r="AJ67" s="2" cm="1">
        <f t="array" ref="AJ67">SUM($F$2:$F$59*($C$2:$C$59=$Q$6))</f>
        <v>0</v>
      </c>
      <c r="AK67" s="3">
        <f t="shared" si="10"/>
        <v>0</v>
      </c>
      <c r="AL67" s="3">
        <v>21.25</v>
      </c>
      <c r="AM67" s="2" cm="1">
        <f t="array" ref="AM67">SUM($F$2:$F$59*($C$2:$C$59=$Q$8))</f>
        <v>0</v>
      </c>
      <c r="AN67" s="3">
        <f t="shared" si="11"/>
        <v>0</v>
      </c>
      <c r="AO67" s="3">
        <f>SUM(J2:J59)</f>
        <v>1376.3100000000004</v>
      </c>
      <c r="AP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4222.7285019999999</v>
      </c>
      <c r="AQ67" s="3" cm="1">
        <f t="array" aca="1" ref="AQ67" ca="1">OFFSET(Table7[[#This Row],[Investment Increase]],0,-1)-SUM($J$2:$J$59*($E$2:$E$59=$Q$31))</f>
        <v>783.72850199999993</v>
      </c>
    </row>
    <row r="68" spans="22:43" x14ac:dyDescent="0.45">
      <c r="V68" s="9">
        <v>44649</v>
      </c>
      <c r="W68" s="3">
        <v>184.24</v>
      </c>
      <c r="X68" s="2" cm="1">
        <f t="array" ref="X68">SUM($F$2:$F$59*($C$2:$C$59=$Q$2))</f>
        <v>4.3230000000000004</v>
      </c>
      <c r="Y68" s="3">
        <f t="shared" si="6"/>
        <v>796.4695200000001</v>
      </c>
      <c r="Z68" s="3">
        <v>166.15</v>
      </c>
      <c r="AA68" s="2" cm="1">
        <f t="array" ref="AA68">SUM($F$2:$F$59*($C$2:$C$59=$Q$3))</f>
        <v>5.8720999999999997</v>
      </c>
      <c r="AB68" s="3">
        <f t="shared" si="7"/>
        <v>975.64941499999998</v>
      </c>
      <c r="AC68" s="3">
        <v>17.89</v>
      </c>
      <c r="AD68" s="2" cm="1">
        <f t="array" ref="AD68">SUM($F$2:$F$59*($C$2:$C$59=$Q$4))</f>
        <v>21.983000000000001</v>
      </c>
      <c r="AE68" s="3">
        <f t="shared" si="8"/>
        <v>393.27587</v>
      </c>
      <c r="AF68" s="3">
        <v>16.36</v>
      </c>
      <c r="AG68" s="2" cm="1">
        <f t="array" ref="AG68">SUM($F$2:$F$59*($C$2:$C$59=$Q$5))</f>
        <v>43.772999999999996</v>
      </c>
      <c r="AH68" s="3">
        <f t="shared" si="9"/>
        <v>716.12627999999995</v>
      </c>
      <c r="AI68" s="3">
        <v>21.33</v>
      </c>
      <c r="AJ68" s="2" cm="1">
        <f t="array" ref="AJ68">SUM($F$2:$F$59*($C$2:$C$59=$Q$6))</f>
        <v>0</v>
      </c>
      <c r="AK68" s="3">
        <f t="shared" si="10"/>
        <v>0</v>
      </c>
      <c r="AL68" s="3">
        <v>20.96</v>
      </c>
      <c r="AM68" s="2" cm="1">
        <f t="array" ref="AM68">SUM($F$2:$F$59*($C$2:$C$59=$Q$8))</f>
        <v>0</v>
      </c>
      <c r="AN68" s="3">
        <f t="shared" si="11"/>
        <v>0</v>
      </c>
      <c r="AO68" s="3">
        <f>SUM(J2:J59)</f>
        <v>1376.3100000000004</v>
      </c>
      <c r="AP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4257.8310849999998</v>
      </c>
      <c r="AQ68" s="3" cm="1">
        <f t="array" aca="1" ref="AQ68" ca="1">OFFSET(Table7[[#This Row],[Investment Increase]],0,-1)-SUM($J$2:$J$59*($E$2:$E$59=$Q$31))</f>
        <v>818.8310849999998</v>
      </c>
    </row>
    <row r="69" spans="22:43" x14ac:dyDescent="0.45">
      <c r="V69" s="9">
        <v>44648</v>
      </c>
      <c r="W69" s="3">
        <v>180.9</v>
      </c>
      <c r="X69" s="2" cm="1">
        <f t="array" ref="X69">SUM($F$2:$F$59*($C$2:$C$59=$Q$2))</f>
        <v>4.3230000000000004</v>
      </c>
      <c r="Y69" s="3">
        <f t="shared" si="6"/>
        <v>782.03070000000014</v>
      </c>
      <c r="Z69" s="3">
        <v>162.57</v>
      </c>
      <c r="AA69" s="2" cm="1">
        <f t="array" ref="AA69">SUM($F$2:$F$59*($C$2:$C$59=$Q$3))</f>
        <v>5.8720999999999997</v>
      </c>
      <c r="AB69" s="3">
        <f t="shared" si="7"/>
        <v>954.62729699999988</v>
      </c>
      <c r="AC69" s="3">
        <v>17.52</v>
      </c>
      <c r="AD69" s="2" cm="1">
        <f t="array" ref="AD69">SUM($F$2:$F$59*($C$2:$C$59=$Q$4))</f>
        <v>21.983000000000001</v>
      </c>
      <c r="AE69" s="3">
        <f t="shared" si="8"/>
        <v>385.14215999999999</v>
      </c>
      <c r="AF69" s="3">
        <v>16.149999999999999</v>
      </c>
      <c r="AG69" s="2" cm="1">
        <f t="array" ref="AG69">SUM($F$2:$F$59*($C$2:$C$59=$Q$5))</f>
        <v>43.772999999999996</v>
      </c>
      <c r="AH69" s="3">
        <f t="shared" si="9"/>
        <v>706.93394999999987</v>
      </c>
      <c r="AI69" s="3">
        <v>21.08</v>
      </c>
      <c r="AJ69" s="2" cm="1">
        <f t="array" ref="AJ69">SUM($F$2:$F$59*($C$2:$C$59=$Q$6))</f>
        <v>0</v>
      </c>
      <c r="AK69" s="3">
        <f t="shared" si="10"/>
        <v>0</v>
      </c>
      <c r="AL69" s="3">
        <v>21.32</v>
      </c>
      <c r="AM69" s="2" cm="1">
        <f t="array" ref="AM69">SUM($F$2:$F$59*($C$2:$C$59=$Q$8))</f>
        <v>0</v>
      </c>
      <c r="AN69" s="3">
        <f t="shared" si="11"/>
        <v>0</v>
      </c>
      <c r="AO69" s="3">
        <f>SUM(J2:J59)</f>
        <v>1376.3100000000004</v>
      </c>
      <c r="AP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4205.0441070000006</v>
      </c>
      <c r="AQ69" s="3" cm="1">
        <f t="array" aca="1" ref="AQ69" ca="1">OFFSET(Table7[[#This Row],[Investment Increase]],0,-1)-SUM($J$2:$J$59*($E$2:$E$59=$Q$31))</f>
        <v>766.04410700000062</v>
      </c>
    </row>
    <row r="70" spans="22:43" x14ac:dyDescent="0.45">
      <c r="V70" s="9">
        <v>44645</v>
      </c>
      <c r="W70" s="3">
        <v>178.56</v>
      </c>
      <c r="X70" s="2" cm="1">
        <f t="array" ref="X70">SUM($F$2:$F$59*($C$2:$C$59=$Q$2))</f>
        <v>4.3230000000000004</v>
      </c>
      <c r="Y70" s="3">
        <f t="shared" si="6"/>
        <v>771.91488000000004</v>
      </c>
      <c r="Z70" s="3">
        <v>160.63</v>
      </c>
      <c r="AA70" s="2" cm="1">
        <f t="array" ref="AA70">SUM($F$2:$F$59*($C$2:$C$59=$Q$3))</f>
        <v>5.8720999999999997</v>
      </c>
      <c r="AB70" s="3">
        <f t="shared" si="7"/>
        <v>943.23542299999997</v>
      </c>
      <c r="AC70" s="3">
        <v>17.309999999999999</v>
      </c>
      <c r="AD70" s="2" cm="1">
        <f t="array" ref="AD70">SUM($F$2:$F$59*($C$2:$C$59=$Q$4))</f>
        <v>21.983000000000001</v>
      </c>
      <c r="AE70" s="3">
        <f t="shared" si="8"/>
        <v>380.52572999999995</v>
      </c>
      <c r="AF70" s="3">
        <v>16.02</v>
      </c>
      <c r="AG70" s="2" cm="1">
        <f t="array" ref="AG70">SUM($F$2:$F$59*($C$2:$C$59=$Q$5))</f>
        <v>43.772999999999996</v>
      </c>
      <c r="AH70" s="3">
        <f t="shared" si="9"/>
        <v>701.24345999999991</v>
      </c>
      <c r="AI70" s="3">
        <v>20.98</v>
      </c>
      <c r="AJ70" s="2" cm="1">
        <f t="array" ref="AJ70">SUM($F$2:$F$59*($C$2:$C$59=$Q$6))</f>
        <v>0</v>
      </c>
      <c r="AK70" s="3">
        <f t="shared" si="10"/>
        <v>0</v>
      </c>
      <c r="AL70" s="3">
        <v>21.73</v>
      </c>
      <c r="AM70" s="2" cm="1">
        <f t="array" ref="AM70">SUM($F$2:$F$59*($C$2:$C$59=$Q$8))</f>
        <v>0</v>
      </c>
      <c r="AN70" s="3">
        <f t="shared" si="11"/>
        <v>0</v>
      </c>
      <c r="AO70" s="3">
        <f>SUM(J2:J59)</f>
        <v>1376.3100000000004</v>
      </c>
      <c r="AP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4173.2294929999998</v>
      </c>
      <c r="AQ70" s="3" cm="1">
        <f t="array" aca="1" ref="AQ70" ca="1">OFFSET(Table7[[#This Row],[Investment Increase]],0,-1)-SUM($J$2:$J$59*($E$2:$E$59=$Q$31))</f>
        <v>734.22949299999982</v>
      </c>
    </row>
    <row r="71" spans="22:43" x14ac:dyDescent="0.45">
      <c r="V71" s="9">
        <v>44644</v>
      </c>
      <c r="W71" s="3">
        <v>178.84</v>
      </c>
      <c r="X71" s="2" cm="1">
        <f t="array" ref="X71">SUM($F$2:$F$59*($C$2:$C$59=$Q$2))</f>
        <v>4.3230000000000004</v>
      </c>
      <c r="Y71" s="3">
        <f t="shared" si="6"/>
        <v>773.1253200000001</v>
      </c>
      <c r="Z71" s="3">
        <v>161.37</v>
      </c>
      <c r="AA71" s="2" cm="1">
        <f t="array" ref="AA71">SUM($F$2:$F$59*($C$2:$C$59=$Q$3))</f>
        <v>5.8720999999999997</v>
      </c>
      <c r="AB71" s="3">
        <f t="shared" si="7"/>
        <v>947.58077700000001</v>
      </c>
      <c r="AC71" s="3">
        <v>17.350000000000001</v>
      </c>
      <c r="AD71" s="2" cm="1">
        <f t="array" ref="AD71">SUM($F$2:$F$59*($C$2:$C$59=$Q$4))</f>
        <v>21.983000000000001</v>
      </c>
      <c r="AE71" s="3">
        <f t="shared" si="8"/>
        <v>381.40505000000002</v>
      </c>
      <c r="AF71" s="3">
        <v>15.96</v>
      </c>
      <c r="AG71" s="2" cm="1">
        <f t="array" ref="AG71">SUM($F$2:$F$59*($C$2:$C$59=$Q$5))</f>
        <v>43.772999999999996</v>
      </c>
      <c r="AH71" s="3">
        <f t="shared" si="9"/>
        <v>698.61707999999999</v>
      </c>
      <c r="AI71" s="3">
        <v>20.87</v>
      </c>
      <c r="AJ71" s="2" cm="1">
        <f t="array" ref="AJ71">SUM($F$2:$F$59*($C$2:$C$59=$Q$6))</f>
        <v>0</v>
      </c>
      <c r="AK71" s="3">
        <f t="shared" si="10"/>
        <v>0</v>
      </c>
      <c r="AL71" s="3">
        <v>21.38</v>
      </c>
      <c r="AM71" s="2" cm="1">
        <f t="array" ref="AM71">SUM($F$2:$F$59*($C$2:$C$59=$Q$8))</f>
        <v>0</v>
      </c>
      <c r="AN71" s="3">
        <f t="shared" si="11"/>
        <v>0</v>
      </c>
      <c r="AO71" s="3">
        <f>SUM(J2:J59)</f>
        <v>1376.3100000000004</v>
      </c>
      <c r="AP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4177.0382270000009</v>
      </c>
      <c r="AQ71" s="3" cm="1">
        <f t="array" aca="1" ref="AQ71" ca="1">OFFSET(Table7[[#This Row],[Investment Increase]],0,-1)-SUM($J$2:$J$59*($E$2:$E$59=$Q$31))</f>
        <v>738.03822700000092</v>
      </c>
    </row>
    <row r="72" spans="22:43" x14ac:dyDescent="0.45">
      <c r="V72" s="9">
        <v>44643</v>
      </c>
      <c r="W72" s="3">
        <v>175.45</v>
      </c>
      <c r="X72" s="2" cm="1">
        <f t="array" ref="X72">SUM($F$2:$F$59*($C$2:$C$59=$Q$2))</f>
        <v>4.3230000000000004</v>
      </c>
      <c r="Y72" s="3">
        <f t="shared" si="6"/>
        <v>758.47035000000005</v>
      </c>
      <c r="Z72" s="3">
        <v>157.75</v>
      </c>
      <c r="AA72" s="2" cm="1">
        <f t="array" ref="AA72">SUM($F$2:$F$59*($C$2:$C$59=$Q$3))</f>
        <v>5.8720999999999997</v>
      </c>
      <c r="AB72" s="3">
        <f t="shared" si="7"/>
        <v>926.32377499999996</v>
      </c>
      <c r="AC72" s="3">
        <v>17.010000000000002</v>
      </c>
      <c r="AD72" s="2" cm="1">
        <f t="array" ref="AD72">SUM($F$2:$F$59*($C$2:$C$59=$Q$4))</f>
        <v>21.983000000000001</v>
      </c>
      <c r="AE72" s="3">
        <f t="shared" si="8"/>
        <v>373.93083000000007</v>
      </c>
      <c r="AF72" s="3">
        <v>15.72</v>
      </c>
      <c r="AG72" s="2" cm="1">
        <f t="array" ref="AG72">SUM($F$2:$F$59*($C$2:$C$59=$Q$5))</f>
        <v>43.772999999999996</v>
      </c>
      <c r="AH72" s="3">
        <f t="shared" si="9"/>
        <v>688.11155999999994</v>
      </c>
      <c r="AI72" s="3">
        <v>20.58</v>
      </c>
      <c r="AJ72" s="2" cm="1">
        <f t="array" ref="AJ72">SUM($F$2:$F$59*($C$2:$C$59=$Q$6))</f>
        <v>0</v>
      </c>
      <c r="AK72" s="3">
        <f t="shared" si="10"/>
        <v>0</v>
      </c>
      <c r="AL72" s="3">
        <v>21.17</v>
      </c>
      <c r="AM72" s="2" cm="1">
        <f t="array" ref="AM72">SUM($F$2:$F$59*($C$2:$C$59=$Q$8))</f>
        <v>0</v>
      </c>
      <c r="AN72" s="3">
        <f t="shared" si="11"/>
        <v>0</v>
      </c>
      <c r="AO72" s="3">
        <f>SUM(J2:J59)</f>
        <v>1376.3100000000004</v>
      </c>
      <c r="AP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4123.1465150000004</v>
      </c>
      <c r="AQ72" s="3" cm="1">
        <f t="array" aca="1" ref="AQ72" ca="1">OFFSET(Table7[[#This Row],[Investment Increase]],0,-1)-SUM($J$2:$J$59*($E$2:$E$59=$Q$31))</f>
        <v>684.14651500000036</v>
      </c>
    </row>
    <row r="73" spans="22:43" x14ac:dyDescent="0.45">
      <c r="V73" s="9">
        <v>44642</v>
      </c>
      <c r="W73" s="3">
        <v>177.8</v>
      </c>
      <c r="X73" s="2" cm="1">
        <f t="array" ref="X73">SUM($F$2:$F$59*($C$2:$C$59=$Q$2))</f>
        <v>4.3230000000000004</v>
      </c>
      <c r="Y73" s="3">
        <f t="shared" si="6"/>
        <v>768.62940000000015</v>
      </c>
      <c r="Z73" s="3">
        <v>159.86000000000001</v>
      </c>
      <c r="AA73" s="2" cm="1">
        <f t="array" ref="AA73">SUM($F$2:$F$59*($C$2:$C$59=$Q$3))</f>
        <v>5.8720999999999997</v>
      </c>
      <c r="AB73" s="3">
        <f t="shared" si="7"/>
        <v>938.71390600000007</v>
      </c>
      <c r="AC73" s="3">
        <v>17.260000000000002</v>
      </c>
      <c r="AD73" s="2" cm="1">
        <f t="array" ref="AD73">SUM($F$2:$F$59*($C$2:$C$59=$Q$4))</f>
        <v>21.983000000000001</v>
      </c>
      <c r="AE73" s="3">
        <f t="shared" si="8"/>
        <v>379.42658000000006</v>
      </c>
      <c r="AF73" s="3">
        <v>15.92</v>
      </c>
      <c r="AG73" s="2" cm="1">
        <f t="array" ref="AG73">SUM($F$2:$F$59*($C$2:$C$59=$Q$5))</f>
        <v>43.772999999999996</v>
      </c>
      <c r="AH73" s="3">
        <f t="shared" si="9"/>
        <v>696.86615999999992</v>
      </c>
      <c r="AI73" s="3">
        <v>20.82</v>
      </c>
      <c r="AJ73" s="2" cm="1">
        <f t="array" ref="AJ73">SUM($F$2:$F$59*($C$2:$C$59=$Q$6))</f>
        <v>0</v>
      </c>
      <c r="AK73" s="3">
        <f t="shared" si="10"/>
        <v>0</v>
      </c>
      <c r="AL73" s="3">
        <v>20.81</v>
      </c>
      <c r="AM73" s="2" cm="1">
        <f t="array" ref="AM73">SUM($F$2:$F$59*($C$2:$C$59=$Q$8))</f>
        <v>0</v>
      </c>
      <c r="AN73" s="3">
        <f t="shared" si="11"/>
        <v>0</v>
      </c>
      <c r="AO73" s="3">
        <f>SUM(J2:J59)</f>
        <v>1376.3100000000004</v>
      </c>
      <c r="AP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4159.9460460000009</v>
      </c>
      <c r="AQ73" s="3" cm="1">
        <f t="array" aca="1" ref="AQ73" ca="1">OFFSET(Table7[[#This Row],[Investment Increase]],0,-1)-SUM($J$2:$J$59*($E$2:$E$59=$Q$31))</f>
        <v>720.94604600000093</v>
      </c>
    </row>
    <row r="74" spans="22:43" x14ac:dyDescent="0.45">
      <c r="V74" s="9">
        <v>44641</v>
      </c>
      <c r="W74" s="3">
        <v>174.4</v>
      </c>
      <c r="X74" s="2" cm="1">
        <f t="array" ref="X74">SUM($F$2:$F$59*($C$2:$C$59=$Q$2))</f>
        <v>4.3230000000000004</v>
      </c>
      <c r="Y74" s="3">
        <f t="shared" si="6"/>
        <v>753.9312000000001</v>
      </c>
      <c r="Z74" s="3">
        <v>156.85</v>
      </c>
      <c r="AA74" s="2" cm="1">
        <f t="array" ref="AA74">SUM($F$2:$F$59*($C$2:$C$59=$Q$3))</f>
        <v>5.8720999999999997</v>
      </c>
      <c r="AB74" s="3">
        <f t="shared" si="7"/>
        <v>921.03888499999994</v>
      </c>
      <c r="AC74" s="3">
        <v>16.91</v>
      </c>
      <c r="AD74" s="2" cm="1">
        <f t="array" ref="AD74">SUM($F$2:$F$59*($C$2:$C$59=$Q$4))</f>
        <v>21.983000000000001</v>
      </c>
      <c r="AE74" s="3">
        <f t="shared" si="8"/>
        <v>371.73253</v>
      </c>
      <c r="AF74" s="3">
        <v>15.73</v>
      </c>
      <c r="AG74" s="2" cm="1">
        <f t="array" ref="AG74">SUM($F$2:$F$59*($C$2:$C$59=$Q$5))</f>
        <v>43.772999999999996</v>
      </c>
      <c r="AH74" s="3">
        <f t="shared" si="9"/>
        <v>688.54928999999993</v>
      </c>
      <c r="AI74" s="3">
        <v>20.61</v>
      </c>
      <c r="AJ74" s="2" cm="1">
        <f t="array" ref="AJ74">SUM($F$2:$F$59*($C$2:$C$59=$Q$6))</f>
        <v>0</v>
      </c>
      <c r="AK74" s="3">
        <f t="shared" si="10"/>
        <v>0</v>
      </c>
      <c r="AL74" s="3">
        <v>20.91</v>
      </c>
      <c r="AM74" s="2" cm="1">
        <f t="array" ref="AM74">SUM($F$2:$F$59*($C$2:$C$59=$Q$8))</f>
        <v>0</v>
      </c>
      <c r="AN74" s="3">
        <f t="shared" si="11"/>
        <v>0</v>
      </c>
      <c r="AO74" s="3">
        <f>SUM(J2:J59)</f>
        <v>1376.3100000000004</v>
      </c>
      <c r="AP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4111.5619050000005</v>
      </c>
      <c r="AQ74" s="3" cm="1">
        <f t="array" aca="1" ref="AQ74" ca="1">OFFSET(Table7[[#This Row],[Investment Increase]],0,-1)-SUM($J$2:$J$59*($E$2:$E$59=$Q$31))</f>
        <v>672.56190500000048</v>
      </c>
    </row>
    <row r="75" spans="22:43" x14ac:dyDescent="0.45">
      <c r="V75" s="9">
        <v>44638</v>
      </c>
      <c r="W75" s="3">
        <v>175.08</v>
      </c>
      <c r="X75" s="2" cm="1">
        <f t="array" ref="X75">SUM($F$2:$F$59*($C$2:$C$59=$Q$2))</f>
        <v>4.3230000000000004</v>
      </c>
      <c r="Y75" s="3">
        <f t="shared" si="6"/>
        <v>756.87084000000016</v>
      </c>
      <c r="Z75" s="3">
        <v>157.91</v>
      </c>
      <c r="AA75" s="2" cm="1">
        <f t="array" ref="AA75">SUM($F$2:$F$59*($C$2:$C$59=$Q$3))</f>
        <v>5.8720999999999997</v>
      </c>
      <c r="AB75" s="3">
        <f t="shared" si="7"/>
        <v>927.26331099999993</v>
      </c>
      <c r="AC75" s="3">
        <v>17.03</v>
      </c>
      <c r="AD75" s="2" cm="1">
        <f t="array" ref="AD75">SUM($F$2:$F$59*($C$2:$C$59=$Q$4))</f>
        <v>21.983000000000001</v>
      </c>
      <c r="AE75" s="3">
        <f t="shared" si="8"/>
        <v>374.37049000000002</v>
      </c>
      <c r="AF75" s="3">
        <v>15.75</v>
      </c>
      <c r="AG75" s="2" cm="1">
        <f t="array" ref="AG75">SUM($F$2:$F$59*($C$2:$C$59=$Q$5))</f>
        <v>43.772999999999996</v>
      </c>
      <c r="AH75" s="3">
        <f t="shared" si="9"/>
        <v>689.4247499999999</v>
      </c>
      <c r="AI75" s="3">
        <v>20.57</v>
      </c>
      <c r="AJ75" s="2" cm="1">
        <f t="array" ref="AJ75">SUM($F$2:$F$59*($C$2:$C$59=$Q$6))</f>
        <v>0</v>
      </c>
      <c r="AK75" s="3">
        <f t="shared" si="10"/>
        <v>0</v>
      </c>
      <c r="AL75" s="3">
        <v>20.16</v>
      </c>
      <c r="AM75" s="2" cm="1">
        <f t="array" ref="AM75">SUM($F$2:$F$59*($C$2:$C$59=$Q$8))</f>
        <v>0</v>
      </c>
      <c r="AN75" s="3">
        <f t="shared" si="11"/>
        <v>0</v>
      </c>
      <c r="AO75" s="3">
        <f>SUM(J2:J59)</f>
        <v>1376.3100000000004</v>
      </c>
      <c r="AP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4124.239391000001</v>
      </c>
      <c r="AQ75" s="3" cm="1">
        <f t="array" aca="1" ref="AQ75" ca="1">OFFSET(Table7[[#This Row],[Investment Increase]],0,-1)-SUM($J$2:$J$59*($E$2:$E$59=$Q$31))</f>
        <v>685.23939100000098</v>
      </c>
    </row>
    <row r="76" spans="22:43" x14ac:dyDescent="0.45">
      <c r="V76" s="9">
        <v>44637</v>
      </c>
      <c r="W76" s="3">
        <v>171.56</v>
      </c>
      <c r="X76" s="2" cm="1">
        <f t="array" ref="X76">SUM($F$2:$F$59*($C$2:$C$59=$Q$2))</f>
        <v>4.3230000000000004</v>
      </c>
      <c r="Y76" s="3">
        <f t="shared" si="6"/>
        <v>741.65388000000007</v>
      </c>
      <c r="Z76" s="3">
        <v>153.99</v>
      </c>
      <c r="AA76" s="2" cm="1">
        <f t="array" ref="AA76">SUM($F$2:$F$59*($C$2:$C$59=$Q$3))</f>
        <v>5.8720999999999997</v>
      </c>
      <c r="AB76" s="3">
        <f t="shared" si="7"/>
        <v>904.24467900000002</v>
      </c>
      <c r="AC76" s="3">
        <v>16.63</v>
      </c>
      <c r="AD76" s="2" cm="1">
        <f t="array" ref="AD76">SUM($F$2:$F$59*($C$2:$C$59=$Q$4))</f>
        <v>21.983000000000001</v>
      </c>
      <c r="AE76" s="3">
        <f t="shared" si="8"/>
        <v>365.57729</v>
      </c>
      <c r="AF76" s="3">
        <v>15.55</v>
      </c>
      <c r="AG76" s="2" cm="1">
        <f t="array" ref="AG76">SUM($F$2:$F$59*($C$2:$C$59=$Q$5))</f>
        <v>43.772999999999996</v>
      </c>
      <c r="AH76" s="3">
        <f t="shared" si="9"/>
        <v>680.67014999999992</v>
      </c>
      <c r="AI76" s="3">
        <v>20.34</v>
      </c>
      <c r="AJ76" s="2" cm="1">
        <f t="array" ref="AJ76">SUM($F$2:$F$59*($C$2:$C$59=$Q$6))</f>
        <v>0</v>
      </c>
      <c r="AK76" s="3">
        <f t="shared" si="10"/>
        <v>0</v>
      </c>
      <c r="AL76" s="3">
        <v>20.05</v>
      </c>
      <c r="AM76" s="2" cm="1">
        <f t="array" ref="AM76">SUM($F$2:$F$59*($C$2:$C$59=$Q$8))</f>
        <v>0</v>
      </c>
      <c r="AN76" s="3">
        <f t="shared" si="11"/>
        <v>0</v>
      </c>
      <c r="AO76" s="3">
        <f>SUM(J2:J59)</f>
        <v>1376.3100000000004</v>
      </c>
      <c r="AP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4068.4559990000007</v>
      </c>
      <c r="AQ76" s="3" cm="1">
        <f t="array" aca="1" ref="AQ76" ca="1">OFFSET(Table7[[#This Row],[Investment Increase]],0,-1)-SUM($J$2:$J$59*($E$2:$E$59=$Q$31))</f>
        <v>629.4559990000007</v>
      </c>
    </row>
    <row r="77" spans="22:43" x14ac:dyDescent="0.45">
      <c r="V77" s="9">
        <v>44636</v>
      </c>
      <c r="W77" s="3">
        <v>169.32</v>
      </c>
      <c r="X77" s="2" cm="1">
        <f t="array" ref="X77">SUM($F$2:$F$59*($C$2:$C$59=$Q$2))</f>
        <v>4.3230000000000004</v>
      </c>
      <c r="Y77" s="3">
        <f t="shared" si="6"/>
        <v>731.97036000000003</v>
      </c>
      <c r="Z77" s="3">
        <v>151.41</v>
      </c>
      <c r="AA77" s="2" cm="1">
        <f t="array" ref="AA77">SUM($F$2:$F$59*($C$2:$C$59=$Q$3))</f>
        <v>5.8720999999999997</v>
      </c>
      <c r="AB77" s="3">
        <f t="shared" si="7"/>
        <v>889.09466099999997</v>
      </c>
      <c r="AC77" s="3">
        <v>16.420000000000002</v>
      </c>
      <c r="AD77" s="2" cm="1">
        <f t="array" ref="AD77">SUM($F$2:$F$59*($C$2:$C$59=$Q$4))</f>
        <v>21.983000000000001</v>
      </c>
      <c r="AE77" s="3">
        <f t="shared" si="8"/>
        <v>360.96086000000003</v>
      </c>
      <c r="AF77" s="3">
        <v>15.35</v>
      </c>
      <c r="AG77" s="2" cm="1">
        <f t="array" ref="AG77">SUM($F$2:$F$59*($C$2:$C$59=$Q$5))</f>
        <v>43.772999999999996</v>
      </c>
      <c r="AH77" s="3">
        <f t="shared" si="9"/>
        <v>671.91554999999994</v>
      </c>
      <c r="AI77" s="3">
        <v>20.09</v>
      </c>
      <c r="AJ77" s="2" cm="1">
        <f t="array" ref="AJ77">SUM($F$2:$F$59*($C$2:$C$59=$Q$6))</f>
        <v>0</v>
      </c>
      <c r="AK77" s="3">
        <f t="shared" si="10"/>
        <v>0</v>
      </c>
      <c r="AL77" s="3">
        <v>19.399999999999999</v>
      </c>
      <c r="AM77" s="2" cm="1">
        <f t="array" ref="AM77">SUM($F$2:$F$59*($C$2:$C$59=$Q$8))</f>
        <v>0</v>
      </c>
      <c r="AN77" s="3">
        <f t="shared" si="11"/>
        <v>0</v>
      </c>
      <c r="AO77" s="3">
        <f>SUM(J2:J59)</f>
        <v>1376.3100000000004</v>
      </c>
      <c r="AP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4030.2514310000006</v>
      </c>
      <c r="AQ77" s="3" cm="1">
        <f t="array" aca="1" ref="AQ77" ca="1">OFFSET(Table7[[#This Row],[Investment Increase]],0,-1)-SUM($J$2:$J$59*($E$2:$E$59=$Q$31))</f>
        <v>591.25143100000059</v>
      </c>
    </row>
    <row r="78" spans="22:43" x14ac:dyDescent="0.45">
      <c r="V78" s="9">
        <v>44635</v>
      </c>
      <c r="W78" s="3">
        <v>163.15</v>
      </c>
      <c r="X78" s="2" cm="1">
        <f t="array" ref="X78">SUM($F$2:$F$59*($C$2:$C$59=$Q$2))</f>
        <v>4.3230000000000004</v>
      </c>
      <c r="Y78" s="3">
        <f t="shared" si="6"/>
        <v>705.29745000000014</v>
      </c>
      <c r="Z78" s="3">
        <v>145.19</v>
      </c>
      <c r="AA78" s="2" cm="1">
        <f t="array" ref="AA78">SUM($F$2:$F$59*($C$2:$C$59=$Q$3))</f>
        <v>5.8720999999999997</v>
      </c>
      <c r="AB78" s="3">
        <f t="shared" si="7"/>
        <v>852.57019899999989</v>
      </c>
      <c r="AC78" s="3">
        <v>15.71</v>
      </c>
      <c r="AD78" s="2" cm="1">
        <f t="array" ref="AD78">SUM($F$2:$F$59*($C$2:$C$59=$Q$4))</f>
        <v>21.983000000000001</v>
      </c>
      <c r="AE78" s="3">
        <f t="shared" si="8"/>
        <v>345.35293000000001</v>
      </c>
      <c r="AF78" s="3">
        <v>15</v>
      </c>
      <c r="AG78" s="2" cm="1">
        <f t="array" ref="AG78">SUM($F$2:$F$59*($C$2:$C$59=$Q$5))</f>
        <v>43.772999999999996</v>
      </c>
      <c r="AH78" s="3">
        <f t="shared" si="9"/>
        <v>656.59499999999991</v>
      </c>
      <c r="AI78" s="3">
        <v>19.670000000000002</v>
      </c>
      <c r="AJ78" s="2" cm="1">
        <f t="array" ref="AJ78">SUM($F$2:$F$59*($C$2:$C$59=$Q$6))</f>
        <v>0</v>
      </c>
      <c r="AK78" s="3">
        <f t="shared" si="10"/>
        <v>0</v>
      </c>
      <c r="AL78" s="3">
        <v>19.37</v>
      </c>
      <c r="AM78" s="2" cm="1">
        <f t="array" ref="AM78">SUM($F$2:$F$59*($C$2:$C$59=$Q$8))</f>
        <v>0</v>
      </c>
      <c r="AN78" s="3">
        <f t="shared" si="11"/>
        <v>0</v>
      </c>
      <c r="AO78" s="3">
        <f>SUM(J2:J59)</f>
        <v>1376.3100000000004</v>
      </c>
      <c r="AP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3936.1255790000005</v>
      </c>
      <c r="AQ78" s="3" cm="1">
        <f t="array" aca="1" ref="AQ78" ca="1">OFFSET(Table7[[#This Row],[Investment Increase]],0,-1)-SUM($J$2:$J$59*($E$2:$E$59=$Q$31))</f>
        <v>497.12557900000047</v>
      </c>
    </row>
    <row r="79" spans="22:43" x14ac:dyDescent="0.45">
      <c r="V79" s="9">
        <v>44634</v>
      </c>
      <c r="W79" s="3">
        <v>158.52000000000001</v>
      </c>
      <c r="X79" s="2" cm="1">
        <f t="array" ref="X79">SUM($F$2:$F$59*($C$2:$C$59=$Q$2))</f>
        <v>4.3230000000000004</v>
      </c>
      <c r="Y79" s="3">
        <f t="shared" si="6"/>
        <v>685.28196000000014</v>
      </c>
      <c r="Z79" s="3">
        <v>140.54</v>
      </c>
      <c r="AA79" s="2" cm="1">
        <f t="array" ref="AA79">SUM($F$2:$F$59*($C$2:$C$59=$Q$3))</f>
        <v>5.8720999999999997</v>
      </c>
      <c r="AB79" s="3">
        <f t="shared" si="7"/>
        <v>825.26493399999993</v>
      </c>
      <c r="AC79" s="3">
        <v>15.27</v>
      </c>
      <c r="AD79" s="2" cm="1">
        <f t="array" ref="AD79">SUM($F$2:$F$59*($C$2:$C$59=$Q$4))</f>
        <v>21.983000000000001</v>
      </c>
      <c r="AE79" s="3">
        <f t="shared" si="8"/>
        <v>335.68040999999999</v>
      </c>
      <c r="AF79" s="3">
        <v>14.68</v>
      </c>
      <c r="AG79" s="2" cm="1">
        <f t="array" ref="AG79">SUM($F$2:$F$59*($C$2:$C$59=$Q$5))</f>
        <v>43.772999999999996</v>
      </c>
      <c r="AH79" s="3">
        <f t="shared" si="9"/>
        <v>642.58763999999996</v>
      </c>
      <c r="AI79" s="3">
        <v>19.28</v>
      </c>
      <c r="AJ79" s="2" cm="1">
        <f t="array" ref="AJ79">SUM($F$2:$F$59*($C$2:$C$59=$Q$6))</f>
        <v>0</v>
      </c>
      <c r="AK79" s="3">
        <f t="shared" si="10"/>
        <v>0</v>
      </c>
      <c r="AL79" s="3">
        <v>19.559999999999999</v>
      </c>
      <c r="AM79" s="2" cm="1">
        <f t="array" ref="AM79">SUM($F$2:$F$59*($C$2:$C$59=$Q$8))</f>
        <v>0</v>
      </c>
      <c r="AN79" s="3">
        <f t="shared" si="11"/>
        <v>0</v>
      </c>
      <c r="AO79" s="3">
        <f>SUM(J2:J59)</f>
        <v>1376.3100000000004</v>
      </c>
      <c r="AP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3865.1249440000001</v>
      </c>
      <c r="AQ79" s="3" cm="1">
        <f t="array" aca="1" ref="AQ79" ca="1">OFFSET(Table7[[#This Row],[Investment Increase]],0,-1)-SUM($J$2:$J$59*($E$2:$E$59=$Q$31))</f>
        <v>426.12494400000014</v>
      </c>
    </row>
    <row r="80" spans="22:43" x14ac:dyDescent="0.45">
      <c r="V80" s="9">
        <v>44631</v>
      </c>
      <c r="W80" s="3">
        <v>161.80000000000001</v>
      </c>
      <c r="X80" s="2" cm="1">
        <f t="array" ref="X80">SUM($F$2:$F$59*($C$2:$C$59=$Q$2))</f>
        <v>4.3230000000000004</v>
      </c>
      <c r="Y80" s="3">
        <f t="shared" si="6"/>
        <v>699.46140000000014</v>
      </c>
      <c r="Z80" s="3">
        <v>143.96</v>
      </c>
      <c r="AA80" s="2" cm="1">
        <f t="array" ref="AA80">SUM($F$2:$F$59*($C$2:$C$59=$Q$3))</f>
        <v>5.8720999999999997</v>
      </c>
      <c r="AB80" s="3">
        <f t="shared" si="7"/>
        <v>845.34751600000004</v>
      </c>
      <c r="AC80" s="3">
        <v>15.61</v>
      </c>
      <c r="AD80" s="2" cm="1">
        <f t="array" ref="AD80">SUM($F$2:$F$59*($C$2:$C$59=$Q$4))</f>
        <v>21.983000000000001</v>
      </c>
      <c r="AE80" s="3">
        <f t="shared" si="8"/>
        <v>343.15463</v>
      </c>
      <c r="AF80" s="3">
        <v>14.8</v>
      </c>
      <c r="AG80" s="2" cm="1">
        <f t="array" ref="AG80">SUM($F$2:$F$59*($C$2:$C$59=$Q$5))</f>
        <v>43.772999999999996</v>
      </c>
      <c r="AH80" s="3">
        <f t="shared" si="9"/>
        <v>647.84039999999993</v>
      </c>
      <c r="AI80" s="3">
        <v>19.43</v>
      </c>
      <c r="AJ80" s="2" cm="1">
        <f t="array" ref="AJ80">SUM($F$2:$F$59*($C$2:$C$59=$Q$6))</f>
        <v>0</v>
      </c>
      <c r="AK80" s="3">
        <f t="shared" si="10"/>
        <v>0</v>
      </c>
      <c r="AL80" s="3">
        <v>20.14</v>
      </c>
      <c r="AM80" s="2" cm="1">
        <f t="array" ref="AM80">SUM($F$2:$F$59*($C$2:$C$59=$Q$8))</f>
        <v>0</v>
      </c>
      <c r="AN80" s="3">
        <f t="shared" si="11"/>
        <v>0</v>
      </c>
      <c r="AO80" s="3">
        <f>SUM(J2:J59)</f>
        <v>1376.3100000000004</v>
      </c>
      <c r="AP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3912.1139460000004</v>
      </c>
      <c r="AQ80" s="3" cm="1">
        <f t="array" aca="1" ref="AQ80" ca="1">OFFSET(Table7[[#This Row],[Investment Increase]],0,-1)-SUM($J$2:$J$59*($E$2:$E$59=$Q$31))</f>
        <v>473.1139460000004</v>
      </c>
    </row>
    <row r="81" spans="22:43" x14ac:dyDescent="0.45">
      <c r="V81" s="9">
        <v>44630</v>
      </c>
      <c r="W81" s="3">
        <v>165.4</v>
      </c>
      <c r="X81" s="2" cm="1">
        <f t="array" ref="X81">SUM($F$2:$F$59*($C$2:$C$59=$Q$2))</f>
        <v>4.3230000000000004</v>
      </c>
      <c r="Y81" s="3">
        <f t="shared" si="6"/>
        <v>715.02420000000006</v>
      </c>
      <c r="Z81" s="3">
        <v>147.30000000000001</v>
      </c>
      <c r="AA81" s="2" cm="1">
        <f t="array" ref="AA81">SUM($F$2:$F$59*($C$2:$C$59=$Q$3))</f>
        <v>5.8720999999999997</v>
      </c>
      <c r="AB81" s="3">
        <f t="shared" si="7"/>
        <v>864.96033</v>
      </c>
      <c r="AC81" s="3">
        <v>16.010000000000002</v>
      </c>
      <c r="AD81" s="2" cm="1">
        <f t="array" ref="AD81">SUM($F$2:$F$59*($C$2:$C$59=$Q$4))</f>
        <v>21.983000000000001</v>
      </c>
      <c r="AE81" s="3">
        <f t="shared" si="8"/>
        <v>351.94783000000007</v>
      </c>
      <c r="AF81" s="3">
        <v>15.01</v>
      </c>
      <c r="AG81" s="2" cm="1">
        <f t="array" ref="AG81">SUM($F$2:$F$59*($C$2:$C$59=$Q$5))</f>
        <v>43.772999999999996</v>
      </c>
      <c r="AH81" s="3">
        <f t="shared" si="9"/>
        <v>657.0327299999999</v>
      </c>
      <c r="AI81" s="3">
        <v>19.68</v>
      </c>
      <c r="AJ81" s="2" cm="1">
        <f t="array" ref="AJ81">SUM($F$2:$F$59*($C$2:$C$59=$Q$6))</f>
        <v>0</v>
      </c>
      <c r="AK81" s="3">
        <f t="shared" si="10"/>
        <v>0</v>
      </c>
      <c r="AL81" s="3">
        <v>20.329999999999998</v>
      </c>
      <c r="AM81" s="2" cm="1">
        <f t="array" ref="AM81">SUM($F$2:$F$59*($C$2:$C$59=$Q$8))</f>
        <v>0</v>
      </c>
      <c r="AN81" s="3">
        <f t="shared" si="11"/>
        <v>0</v>
      </c>
      <c r="AO81" s="3">
        <f>SUM(J2:J59)</f>
        <v>1376.3100000000004</v>
      </c>
      <c r="AP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3965.2750900000005</v>
      </c>
      <c r="AQ81" s="3" cm="1">
        <f t="array" aca="1" ref="AQ81" ca="1">OFFSET(Table7[[#This Row],[Investment Increase]],0,-1)-SUM($J$2:$J$59*($E$2:$E$59=$Q$31))</f>
        <v>526.27509000000055</v>
      </c>
    </row>
    <row r="82" spans="22:43" x14ac:dyDescent="0.45">
      <c r="V82" s="9">
        <v>44629</v>
      </c>
      <c r="W82" s="3">
        <v>166.98</v>
      </c>
      <c r="X82" s="2" cm="1">
        <f t="array" ref="X82">SUM($F$2:$F$59*($C$2:$C$59=$Q$2))</f>
        <v>4.3230000000000004</v>
      </c>
      <c r="Y82" s="3">
        <f t="shared" si="6"/>
        <v>721.85454000000004</v>
      </c>
      <c r="Z82" s="3">
        <v>148.18</v>
      </c>
      <c r="AA82" s="2" cm="1">
        <f t="array" ref="AA82">SUM($F$2:$F$59*($C$2:$C$59=$Q$3))</f>
        <v>5.8720999999999997</v>
      </c>
      <c r="AB82" s="3">
        <f t="shared" si="7"/>
        <v>870.12777800000003</v>
      </c>
      <c r="AC82" s="3">
        <v>16.190000000000001</v>
      </c>
      <c r="AD82" s="2" cm="1">
        <f t="array" ref="AD82">SUM($F$2:$F$59*($C$2:$C$59=$Q$4))</f>
        <v>21.983000000000001</v>
      </c>
      <c r="AE82" s="3">
        <f t="shared" si="8"/>
        <v>355.90477000000004</v>
      </c>
      <c r="AF82" s="3">
        <v>15.08</v>
      </c>
      <c r="AG82" s="2" cm="1">
        <f t="array" ref="AG82">SUM($F$2:$F$59*($C$2:$C$59=$Q$5))</f>
        <v>43.772999999999996</v>
      </c>
      <c r="AH82" s="3">
        <f t="shared" si="9"/>
        <v>660.09683999999993</v>
      </c>
      <c r="AI82" s="3">
        <v>19.75</v>
      </c>
      <c r="AJ82" s="2" cm="1">
        <f t="array" ref="AJ82">SUM($F$2:$F$59*($C$2:$C$59=$Q$6))</f>
        <v>0</v>
      </c>
      <c r="AK82" s="3">
        <f t="shared" si="10"/>
        <v>0</v>
      </c>
      <c r="AL82" s="3">
        <v>19.8</v>
      </c>
      <c r="AM82" s="2" cm="1">
        <f t="array" ref="AM82">SUM($F$2:$F$59*($C$2:$C$59=$Q$8))</f>
        <v>0</v>
      </c>
      <c r="AN82" s="3">
        <f t="shared" si="11"/>
        <v>0</v>
      </c>
      <c r="AO82" s="3">
        <f>SUM(J2:J59)</f>
        <v>1376.3100000000004</v>
      </c>
      <c r="AP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3984.2939280000005</v>
      </c>
      <c r="AQ82" s="3" cm="1">
        <f t="array" aca="1" ref="AQ82" ca="1">OFFSET(Table7[[#This Row],[Investment Increase]],0,-1)-SUM($J$2:$J$59*($E$2:$E$59=$Q$31))</f>
        <v>545.29392800000051</v>
      </c>
    </row>
    <row r="83" spans="22:43" x14ac:dyDescent="0.45">
      <c r="V83" s="9">
        <v>44628</v>
      </c>
      <c r="W83" s="3">
        <v>161.16999999999999</v>
      </c>
      <c r="X83" s="2" cm="1">
        <f t="array" ref="X83">SUM($F$2:$F$59*($C$2:$C$59=$Q$2))</f>
        <v>4.3230000000000004</v>
      </c>
      <c r="Y83" s="3">
        <f t="shared" si="6"/>
        <v>696.73791000000006</v>
      </c>
      <c r="Z83" s="3">
        <v>142.44999999999999</v>
      </c>
      <c r="AA83" s="2" cm="1">
        <f t="array" ref="AA83">SUM($F$2:$F$59*($C$2:$C$59=$Q$3))</f>
        <v>5.8720999999999997</v>
      </c>
      <c r="AB83" s="3">
        <f t="shared" si="7"/>
        <v>836.48064499999987</v>
      </c>
      <c r="AC83" s="3">
        <v>15.53</v>
      </c>
      <c r="AD83" s="2" cm="1">
        <f t="array" ref="AD83">SUM($F$2:$F$59*($C$2:$C$59=$Q$4))</f>
        <v>21.983000000000001</v>
      </c>
      <c r="AE83" s="3">
        <f t="shared" si="8"/>
        <v>341.39598999999998</v>
      </c>
      <c r="AF83" s="3">
        <v>14.68</v>
      </c>
      <c r="AG83" s="2" cm="1">
        <f t="array" ref="AG83">SUM($F$2:$F$59*($C$2:$C$59=$Q$5))</f>
        <v>43.772999999999996</v>
      </c>
      <c r="AH83" s="3">
        <f t="shared" si="9"/>
        <v>642.58763999999996</v>
      </c>
      <c r="AI83" s="3">
        <v>19.28</v>
      </c>
      <c r="AJ83" s="2" cm="1">
        <f t="array" ref="AJ83">SUM($F$2:$F$59*($C$2:$C$59=$Q$6))</f>
        <v>0</v>
      </c>
      <c r="AK83" s="3">
        <f t="shared" si="10"/>
        <v>0</v>
      </c>
      <c r="AL83" s="3">
        <v>19.93</v>
      </c>
      <c r="AM83" s="2" cm="1">
        <f t="array" ref="AM83">SUM($F$2:$F$59*($C$2:$C$59=$Q$8))</f>
        <v>0</v>
      </c>
      <c r="AN83" s="3">
        <f t="shared" si="11"/>
        <v>0</v>
      </c>
      <c r="AO83" s="3">
        <f>SUM(J2:J59)</f>
        <v>1376.3100000000004</v>
      </c>
      <c r="AP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3893.5121850000005</v>
      </c>
      <c r="AQ83" s="3" cm="1">
        <f t="array" aca="1" ref="AQ83" ca="1">OFFSET(Table7[[#This Row],[Investment Increase]],0,-1)-SUM($J$2:$J$59*($E$2:$E$59=$Q$31))</f>
        <v>454.5121850000005</v>
      </c>
    </row>
    <row r="84" spans="22:43" x14ac:dyDescent="0.45">
      <c r="V84" s="9">
        <v>44627</v>
      </c>
      <c r="W84" s="3">
        <v>161.55000000000001</v>
      </c>
      <c r="X84" s="2" cm="1">
        <f t="array" ref="X84">SUM($F$2:$F$59*($C$2:$C$59=$Q$2))</f>
        <v>4.3230000000000004</v>
      </c>
      <c r="Y84" s="3">
        <f t="shared" si="6"/>
        <v>698.38065000000006</v>
      </c>
      <c r="Z84" s="3">
        <v>141.65</v>
      </c>
      <c r="AA84" s="2" cm="1">
        <f t="array" ref="AA84">SUM($F$2:$F$59*($C$2:$C$59=$Q$3))</f>
        <v>5.8720999999999997</v>
      </c>
      <c r="AB84" s="3">
        <f t="shared" si="7"/>
        <v>831.78296499999999</v>
      </c>
      <c r="AC84" s="3">
        <v>15.52</v>
      </c>
      <c r="AD84" s="2" cm="1">
        <f t="array" ref="AD84">SUM($F$2:$F$59*($C$2:$C$59=$Q$4))</f>
        <v>21.983000000000001</v>
      </c>
      <c r="AE84" s="3">
        <f t="shared" si="8"/>
        <v>341.17615999999998</v>
      </c>
      <c r="AF84" s="3">
        <v>14.79</v>
      </c>
      <c r="AG84" s="2" cm="1">
        <f t="array" ref="AG84">SUM($F$2:$F$59*($C$2:$C$59=$Q$5))</f>
        <v>43.772999999999996</v>
      </c>
      <c r="AH84" s="3">
        <f t="shared" si="9"/>
        <v>647.40266999999994</v>
      </c>
      <c r="AI84" s="3">
        <v>19.399999999999999</v>
      </c>
      <c r="AJ84" s="2" cm="1">
        <f t="array" ref="AJ84">SUM($F$2:$F$59*($C$2:$C$59=$Q$6))</f>
        <v>0</v>
      </c>
      <c r="AK84" s="3">
        <f t="shared" si="10"/>
        <v>0</v>
      </c>
      <c r="AL84" s="3">
        <v>20.07</v>
      </c>
      <c r="AM84" s="2" cm="1">
        <f t="array" ref="AM84">SUM($F$2:$F$59*($C$2:$C$59=$Q$8))</f>
        <v>0</v>
      </c>
      <c r="AN84" s="3">
        <f t="shared" si="11"/>
        <v>0</v>
      </c>
      <c r="AO84" s="3">
        <f>SUM(J2:J59)</f>
        <v>1376.3100000000004</v>
      </c>
      <c r="AP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3895.0524450000003</v>
      </c>
      <c r="AQ84" s="3" cm="1">
        <f t="array" aca="1" ref="AQ84" ca="1">OFFSET(Table7[[#This Row],[Investment Increase]],0,-1)-SUM($J$2:$J$59*($E$2:$E$59=$Q$31))</f>
        <v>456.05244500000026</v>
      </c>
    </row>
    <row r="85" spans="22:43" x14ac:dyDescent="0.45">
      <c r="V85" s="9">
        <v>44624</v>
      </c>
      <c r="W85" s="3">
        <v>167.62</v>
      </c>
      <c r="X85" s="2" cm="1">
        <f t="array" ref="X85">SUM($F$2:$F$59*($C$2:$C$59=$Q$2))</f>
        <v>4.3230000000000004</v>
      </c>
      <c r="Y85" s="3">
        <f t="shared" si="6"/>
        <v>724.62126000000012</v>
      </c>
      <c r="Z85" s="3">
        <v>148.31</v>
      </c>
      <c r="AA85" s="2" cm="1">
        <f t="array" ref="AA85">SUM($F$2:$F$59*($C$2:$C$59=$Q$3))</f>
        <v>5.8720999999999997</v>
      </c>
      <c r="AB85" s="3">
        <f t="shared" si="7"/>
        <v>870.89115099999992</v>
      </c>
      <c r="AC85" s="3">
        <v>16.18</v>
      </c>
      <c r="AD85" s="2" cm="1">
        <f t="array" ref="AD85">SUM($F$2:$F$59*($C$2:$C$59=$Q$4))</f>
        <v>21.983000000000001</v>
      </c>
      <c r="AE85" s="3">
        <f t="shared" si="8"/>
        <v>355.68493999999998</v>
      </c>
      <c r="AF85" s="3">
        <v>15.25</v>
      </c>
      <c r="AG85" s="2" cm="1">
        <f t="array" ref="AG85">SUM($F$2:$F$59*($C$2:$C$59=$Q$5))</f>
        <v>43.772999999999996</v>
      </c>
      <c r="AH85" s="3">
        <f t="shared" si="9"/>
        <v>667.53824999999995</v>
      </c>
      <c r="AI85" s="3">
        <v>19.97</v>
      </c>
      <c r="AJ85" s="2" cm="1">
        <f t="array" ref="AJ85">SUM($F$2:$F$59*($C$2:$C$59=$Q$6))</f>
        <v>0</v>
      </c>
      <c r="AK85" s="3">
        <f t="shared" si="10"/>
        <v>0</v>
      </c>
      <c r="AL85" s="3">
        <v>19.989999999999998</v>
      </c>
      <c r="AM85" s="2" cm="1">
        <f t="array" ref="AM85">SUM($F$2:$F$59*($C$2:$C$59=$Q$8))</f>
        <v>0</v>
      </c>
      <c r="AN85" s="3">
        <f t="shared" si="11"/>
        <v>0</v>
      </c>
      <c r="AO85" s="3">
        <f>SUM(J2:J59)</f>
        <v>1376.3100000000004</v>
      </c>
      <c r="AP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3995.0456010000007</v>
      </c>
      <c r="AQ85" s="3" cm="1">
        <f t="array" aca="1" ref="AQ85" ca="1">OFFSET(Table7[[#This Row],[Investment Increase]],0,-1)-SUM($J$2:$J$59*($E$2:$E$59=$Q$31))</f>
        <v>556.04560100000072</v>
      </c>
    </row>
    <row r="86" spans="22:43" x14ac:dyDescent="0.45">
      <c r="V86" s="9">
        <v>44623</v>
      </c>
      <c r="W86" s="3">
        <v>170.44</v>
      </c>
      <c r="X86" s="2" cm="1">
        <f t="array" ref="X86">SUM($F$2:$F$59*($C$2:$C$59=$Q$2))</f>
        <v>4.3230000000000004</v>
      </c>
      <c r="Y86" s="3">
        <f t="shared" si="6"/>
        <v>736.81212000000005</v>
      </c>
      <c r="Z86" s="3">
        <v>152.13999999999999</v>
      </c>
      <c r="AA86" s="2" cm="1">
        <f t="array" ref="AA86">SUM($F$2:$F$59*($C$2:$C$59=$Q$3))</f>
        <v>5.8720999999999997</v>
      </c>
      <c r="AB86" s="3">
        <f t="shared" si="7"/>
        <v>893.38129399999991</v>
      </c>
      <c r="AC86" s="3">
        <v>16.54</v>
      </c>
      <c r="AD86" s="2" cm="1">
        <f t="array" ref="AD86">SUM($F$2:$F$59*($C$2:$C$59=$Q$4))</f>
        <v>21.983000000000001</v>
      </c>
      <c r="AE86" s="3">
        <f t="shared" si="8"/>
        <v>363.59881999999999</v>
      </c>
      <c r="AF86" s="3">
        <v>15.38</v>
      </c>
      <c r="AG86" s="2" cm="1">
        <f t="array" ref="AG86">SUM($F$2:$F$59*($C$2:$C$59=$Q$5))</f>
        <v>43.772999999999996</v>
      </c>
      <c r="AH86" s="3">
        <f t="shared" si="9"/>
        <v>673.22874000000002</v>
      </c>
      <c r="AI86" s="3">
        <v>20.100000000000001</v>
      </c>
      <c r="AJ86" s="2" cm="1">
        <f t="array" ref="AJ86">SUM($F$2:$F$59*($C$2:$C$59=$Q$6))</f>
        <v>0</v>
      </c>
      <c r="AK86" s="3">
        <f t="shared" si="10"/>
        <v>0</v>
      </c>
      <c r="AL86" s="3">
        <v>19.62</v>
      </c>
      <c r="AM86" s="2" cm="1">
        <f t="array" ref="AM86">SUM($F$2:$F$59*($C$2:$C$59=$Q$8))</f>
        <v>0</v>
      </c>
      <c r="AN86" s="3">
        <f t="shared" si="11"/>
        <v>0</v>
      </c>
      <c r="AO86" s="3">
        <f>SUM(J2:J59)</f>
        <v>1376.3100000000004</v>
      </c>
      <c r="AP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4043.3309740000004</v>
      </c>
      <c r="AQ86" s="3" cm="1">
        <f t="array" aca="1" ref="AQ86" ca="1">OFFSET(Table7[[#This Row],[Investment Increase]],0,-1)-SUM($J$2:$J$59*($E$2:$E$59=$Q$31))</f>
        <v>604.33097400000042</v>
      </c>
    </row>
    <row r="87" spans="22:43" x14ac:dyDescent="0.45">
      <c r="V87" s="9">
        <v>44622</v>
      </c>
      <c r="W87" s="3">
        <v>173.12</v>
      </c>
      <c r="X87" s="2" cm="1">
        <f t="array" ref="X87">SUM($F$2:$F$59*($C$2:$C$59=$Q$2))</f>
        <v>4.3230000000000004</v>
      </c>
      <c r="Y87" s="3">
        <f t="shared" si="6"/>
        <v>748.39776000000006</v>
      </c>
      <c r="Z87" s="3">
        <v>155.74</v>
      </c>
      <c r="AA87" s="2" cm="1">
        <f t="array" ref="AA87">SUM($F$2:$F$59*($C$2:$C$59=$Q$3))</f>
        <v>5.8720999999999997</v>
      </c>
      <c r="AB87" s="3">
        <f t="shared" si="7"/>
        <v>914.52085399999999</v>
      </c>
      <c r="AC87" s="3">
        <v>16.850000000000001</v>
      </c>
      <c r="AD87" s="2" cm="1">
        <f t="array" ref="AD87">SUM($F$2:$F$59*($C$2:$C$59=$Q$4))</f>
        <v>21.983000000000001</v>
      </c>
      <c r="AE87" s="3">
        <f t="shared" si="8"/>
        <v>370.41355000000004</v>
      </c>
      <c r="AF87" s="3">
        <v>15.49</v>
      </c>
      <c r="AG87" s="2" cm="1">
        <f t="array" ref="AG87">SUM($F$2:$F$59*($C$2:$C$59=$Q$5))</f>
        <v>43.772999999999996</v>
      </c>
      <c r="AH87" s="3">
        <f t="shared" si="9"/>
        <v>678.04376999999999</v>
      </c>
      <c r="AI87" s="3">
        <v>20.2</v>
      </c>
      <c r="AJ87" s="2" cm="1">
        <f t="array" ref="AJ87">SUM($F$2:$F$59*($C$2:$C$59=$Q$6))</f>
        <v>0</v>
      </c>
      <c r="AK87" s="3">
        <f t="shared" si="10"/>
        <v>0</v>
      </c>
      <c r="AL87" s="3">
        <v>19.52</v>
      </c>
      <c r="AM87" s="2" cm="1">
        <f t="array" ref="AM87">SUM($F$2:$F$59*($C$2:$C$59=$Q$8))</f>
        <v>0</v>
      </c>
      <c r="AN87" s="3">
        <f t="shared" si="11"/>
        <v>0</v>
      </c>
      <c r="AO87" s="3">
        <f>SUM(J2:J59)</f>
        <v>1376.3100000000004</v>
      </c>
      <c r="AP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4087.6859340000005</v>
      </c>
      <c r="AQ87" s="3" cm="1">
        <f t="array" aca="1" ref="AQ87" ca="1">OFFSET(Table7[[#This Row],[Investment Increase]],0,-1)-SUM($J$2:$J$59*($E$2:$E$59=$Q$31))</f>
        <v>648.68593400000054</v>
      </c>
    </row>
    <row r="88" spans="22:43" x14ac:dyDescent="0.45">
      <c r="V88" s="9">
        <v>44621</v>
      </c>
      <c r="W88" s="3">
        <v>170.37</v>
      </c>
      <c r="X88" s="2" cm="1">
        <f t="array" ref="X88">SUM($F$2:$F$59*($C$2:$C$59=$Q$2))</f>
        <v>4.3230000000000004</v>
      </c>
      <c r="Y88" s="3">
        <f t="shared" si="6"/>
        <v>736.50951000000009</v>
      </c>
      <c r="Z88" s="3">
        <v>153.19999999999999</v>
      </c>
      <c r="AA88" s="2" cm="1">
        <f t="array" ref="AA88">SUM($F$2:$F$59*($C$2:$C$59=$Q$3))</f>
        <v>5.8720999999999997</v>
      </c>
      <c r="AB88" s="3">
        <f t="shared" si="7"/>
        <v>899.60571999999991</v>
      </c>
      <c r="AC88" s="3">
        <v>16.62</v>
      </c>
      <c r="AD88" s="2" cm="1">
        <f t="array" ref="AD88">SUM($F$2:$F$59*($C$2:$C$59=$Q$4))</f>
        <v>21.983000000000001</v>
      </c>
      <c r="AE88" s="3">
        <f t="shared" si="8"/>
        <v>365.35746</v>
      </c>
      <c r="AF88" s="3">
        <v>15.21</v>
      </c>
      <c r="AG88" s="2" cm="1">
        <f t="array" ref="AG88">SUM($F$2:$F$59*($C$2:$C$59=$Q$5))</f>
        <v>43.772999999999996</v>
      </c>
      <c r="AH88" s="3">
        <f t="shared" si="9"/>
        <v>665.78733</v>
      </c>
      <c r="AI88" s="3">
        <v>19.809999999999999</v>
      </c>
      <c r="AJ88" s="2" cm="1">
        <f t="array" ref="AJ88">SUM($F$2:$F$59*($C$2:$C$59=$Q$6))</f>
        <v>0</v>
      </c>
      <c r="AK88" s="3">
        <f t="shared" si="10"/>
        <v>0</v>
      </c>
      <c r="AL88" s="3">
        <v>18.98</v>
      </c>
      <c r="AM88" s="2" cm="1">
        <f t="array" ref="AM88">SUM($F$2:$F$59*($C$2:$C$59=$Q$8))</f>
        <v>0</v>
      </c>
      <c r="AN88" s="3">
        <f t="shared" si="11"/>
        <v>0</v>
      </c>
      <c r="AO88" s="3">
        <f>SUM(J2:J59)</f>
        <v>1376.3100000000004</v>
      </c>
      <c r="AP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4043.5700200000001</v>
      </c>
      <c r="AQ88" s="3" cm="1">
        <f t="array" aca="1" ref="AQ88" ca="1">OFFSET(Table7[[#This Row],[Investment Increase]],0,-1)-SUM($J$2:$J$59*($E$2:$E$59=$Q$31))</f>
        <v>604.57002000000011</v>
      </c>
    </row>
    <row r="89" spans="22:43" x14ac:dyDescent="0.45">
      <c r="V89" s="9">
        <v>44620</v>
      </c>
      <c r="W89" s="3">
        <v>173.13</v>
      </c>
      <c r="X89" s="2" cm="1">
        <f t="array" ref="X89">SUM($F$2:$F$59*($C$2:$C$59=$Q$2))</f>
        <v>4.3230000000000004</v>
      </c>
      <c r="Y89" s="3">
        <f t="shared" si="6"/>
        <v>748.44099000000006</v>
      </c>
      <c r="Z89" s="3">
        <v>156.47999999999999</v>
      </c>
      <c r="AA89" s="2" cm="1">
        <f t="array" ref="AA89">SUM($F$2:$F$59*($C$2:$C$59=$Q$3))</f>
        <v>5.8720999999999997</v>
      </c>
      <c r="AB89" s="3">
        <f t="shared" si="7"/>
        <v>918.86620799999992</v>
      </c>
      <c r="AC89" s="3">
        <v>16.920000000000002</v>
      </c>
      <c r="AD89" s="2" cm="1">
        <f t="array" ref="AD89">SUM($F$2:$F$59*($C$2:$C$59=$Q$4))</f>
        <v>21.983000000000001</v>
      </c>
      <c r="AE89" s="3">
        <f t="shared" si="8"/>
        <v>371.95236000000006</v>
      </c>
      <c r="AF89" s="3">
        <v>15.44</v>
      </c>
      <c r="AG89" s="2" cm="1">
        <f t="array" ref="AG89">SUM($F$2:$F$59*($C$2:$C$59=$Q$5))</f>
        <v>43.772999999999996</v>
      </c>
      <c r="AH89" s="3">
        <f t="shared" si="9"/>
        <v>675.85511999999994</v>
      </c>
      <c r="AI89" s="3">
        <v>20.09</v>
      </c>
      <c r="AJ89" s="2" cm="1">
        <f t="array" ref="AJ89">SUM($F$2:$F$59*($C$2:$C$59=$Q$6))</f>
        <v>0</v>
      </c>
      <c r="AK89" s="3">
        <f t="shared" si="10"/>
        <v>0</v>
      </c>
      <c r="AL89" s="3">
        <v>18.87</v>
      </c>
      <c r="AM89" s="2" cm="1">
        <f t="array" ref="AM89">SUM($F$2:$F$59*($C$2:$C$59=$Q$8))</f>
        <v>0</v>
      </c>
      <c r="AN89" s="3">
        <f t="shared" si="11"/>
        <v>0</v>
      </c>
      <c r="AO89" s="3">
        <f>SUM(J2:J59)</f>
        <v>1376.3100000000004</v>
      </c>
      <c r="AP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4091.4246780000003</v>
      </c>
      <c r="AQ89" s="3" cm="1">
        <f t="array" aca="1" ref="AQ89" ca="1">OFFSET(Table7[[#This Row],[Investment Increase]],0,-1)-SUM($J$2:$J$59*($E$2:$E$59=$Q$31))</f>
        <v>652.42467800000031</v>
      </c>
    </row>
    <row r="90" spans="22:43" x14ac:dyDescent="0.45">
      <c r="V90" s="9">
        <v>44617</v>
      </c>
      <c r="W90" s="3">
        <v>172.41</v>
      </c>
      <c r="X90" s="2" cm="1">
        <f t="array" ref="X90">SUM($F$2:$F$59*($C$2:$C$59=$Q$2))</f>
        <v>4.3230000000000004</v>
      </c>
      <c r="Y90" s="3">
        <f t="shared" si="6"/>
        <v>745.32843000000003</v>
      </c>
      <c r="Z90" s="3">
        <v>155.43</v>
      </c>
      <c r="AA90" s="2" cm="1">
        <f t="array" ref="AA90">SUM($F$2:$F$59*($C$2:$C$59=$Q$3))</f>
        <v>5.8720999999999997</v>
      </c>
      <c r="AB90" s="3">
        <f t="shared" si="7"/>
        <v>912.70050300000003</v>
      </c>
      <c r="AC90" s="3">
        <v>16.87</v>
      </c>
      <c r="AD90" s="2" cm="1">
        <f t="array" ref="AD90">SUM($F$2:$F$59*($C$2:$C$59=$Q$4))</f>
        <v>21.983000000000001</v>
      </c>
      <c r="AE90" s="3">
        <f t="shared" si="8"/>
        <v>370.85321000000005</v>
      </c>
      <c r="AF90" s="3">
        <v>15.47</v>
      </c>
      <c r="AG90" s="2" cm="1">
        <f t="array" ref="AG90">SUM($F$2:$F$59*($C$2:$C$59=$Q$5))</f>
        <v>43.772999999999996</v>
      </c>
      <c r="AH90" s="3">
        <f t="shared" si="9"/>
        <v>677.16831000000002</v>
      </c>
      <c r="AI90" s="3">
        <v>20.12</v>
      </c>
      <c r="AJ90" s="2" cm="1">
        <f t="array" ref="AJ90">SUM($F$2:$F$59*($C$2:$C$59=$Q$6))</f>
        <v>0</v>
      </c>
      <c r="AK90" s="3">
        <f t="shared" si="10"/>
        <v>0</v>
      </c>
      <c r="AL90" s="3">
        <v>18.670000000000002</v>
      </c>
      <c r="AM90" s="2" cm="1">
        <f t="array" ref="AM90">SUM($F$2:$F$59*($C$2:$C$59=$Q$8))</f>
        <v>0</v>
      </c>
      <c r="AN90" s="3">
        <f t="shared" si="11"/>
        <v>0</v>
      </c>
      <c r="AO90" s="3">
        <f>SUM(J2:J59)</f>
        <v>1376.3100000000004</v>
      </c>
      <c r="AP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4082.3604530000002</v>
      </c>
      <c r="AQ90" s="3" cm="1">
        <f t="array" aca="1" ref="AQ90" ca="1">OFFSET(Table7[[#This Row],[Investment Increase]],0,-1)-SUM($J$2:$J$59*($E$2:$E$59=$Q$31))</f>
        <v>643.36045300000023</v>
      </c>
    </row>
    <row r="91" spans="22:43" x14ac:dyDescent="0.45">
      <c r="V91" s="9">
        <v>44616</v>
      </c>
      <c r="W91" s="3">
        <v>169.64</v>
      </c>
      <c r="X91" s="2" cm="1">
        <f t="array" ref="X91">SUM($F$2:$F$59*($C$2:$C$59=$Q$2))</f>
        <v>4.3230000000000004</v>
      </c>
      <c r="Y91" s="3">
        <f t="shared" si="6"/>
        <v>733.35371999999995</v>
      </c>
      <c r="Z91" s="3">
        <v>152.83000000000001</v>
      </c>
      <c r="AA91" s="2" cm="1">
        <f t="array" ref="AA91">SUM($F$2:$F$59*($C$2:$C$59=$Q$3))</f>
        <v>5.8720999999999997</v>
      </c>
      <c r="AB91" s="3">
        <f t="shared" si="7"/>
        <v>897.433043</v>
      </c>
      <c r="AC91" s="3">
        <v>16.63</v>
      </c>
      <c r="AD91" s="2" cm="1">
        <f t="array" ref="AD91">SUM($F$2:$F$59*($C$2:$C$59=$Q$4))</f>
        <v>21.983000000000001</v>
      </c>
      <c r="AE91" s="3">
        <f t="shared" si="8"/>
        <v>365.57729</v>
      </c>
      <c r="AF91" s="3">
        <v>15.14</v>
      </c>
      <c r="AG91" s="2" cm="1">
        <f t="array" ref="AG91">SUM($F$2:$F$59*($C$2:$C$59=$Q$5))</f>
        <v>43.772999999999996</v>
      </c>
      <c r="AH91" s="3">
        <f t="shared" si="9"/>
        <v>662.72321999999997</v>
      </c>
      <c r="AI91" s="3">
        <v>19.690000000000001</v>
      </c>
      <c r="AJ91" s="2" cm="1">
        <f t="array" ref="AJ91">SUM($F$2:$F$59*($C$2:$C$59=$Q$6))</f>
        <v>0</v>
      </c>
      <c r="AK91" s="3">
        <f t="shared" si="10"/>
        <v>0</v>
      </c>
      <c r="AL91" s="3">
        <v>18.05</v>
      </c>
      <c r="AM91" s="2" cm="1">
        <f t="array" ref="AM91">SUM($F$2:$F$59*($C$2:$C$59=$Q$8))</f>
        <v>0</v>
      </c>
      <c r="AN91" s="3">
        <f t="shared" si="11"/>
        <v>0</v>
      </c>
      <c r="AO91" s="3">
        <f>SUM(J2:J59)</f>
        <v>1376.3100000000004</v>
      </c>
      <c r="AP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4035.3972730000005</v>
      </c>
      <c r="AQ91" s="3" cm="1">
        <f t="array" aca="1" ref="AQ91" ca="1">OFFSET(Table7[[#This Row],[Investment Increase]],0,-1)-SUM($J$2:$J$59*($E$2:$E$59=$Q$31))</f>
        <v>596.3972730000005</v>
      </c>
    </row>
    <row r="92" spans="22:43" x14ac:dyDescent="0.45">
      <c r="V92" s="9">
        <v>44615</v>
      </c>
      <c r="W92" s="3">
        <v>164.12</v>
      </c>
      <c r="X92" s="2" cm="1">
        <f t="array" ref="X92">SUM($F$2:$F$59*($C$2:$C$59=$Q$2))</f>
        <v>4.3230000000000004</v>
      </c>
      <c r="Y92" s="3">
        <f t="shared" si="6"/>
        <v>709.49076000000014</v>
      </c>
      <c r="Z92" s="3">
        <v>147.16</v>
      </c>
      <c r="AA92" s="2" cm="1">
        <f t="array" ref="AA92">SUM($F$2:$F$59*($C$2:$C$59=$Q$3))</f>
        <v>5.8720999999999997</v>
      </c>
      <c r="AB92" s="3">
        <f t="shared" si="7"/>
        <v>864.13823599999989</v>
      </c>
      <c r="AC92" s="3">
        <v>16.100000000000001</v>
      </c>
      <c r="AD92" s="2" cm="1">
        <f t="array" ref="AD92">SUM($F$2:$F$59*($C$2:$C$59=$Q$4))</f>
        <v>21.983000000000001</v>
      </c>
      <c r="AE92" s="3">
        <f t="shared" si="8"/>
        <v>353.92630000000003</v>
      </c>
      <c r="AF92" s="3">
        <v>14.89</v>
      </c>
      <c r="AG92" s="2" cm="1">
        <f t="array" ref="AG92">SUM($F$2:$F$59*($C$2:$C$59=$Q$5))</f>
        <v>43.772999999999996</v>
      </c>
      <c r="AH92" s="3">
        <f t="shared" si="9"/>
        <v>651.77996999999993</v>
      </c>
      <c r="AI92" s="3">
        <v>19.440000000000001</v>
      </c>
      <c r="AJ92" s="2" cm="1">
        <f t="array" ref="AJ92">SUM($F$2:$F$59*($C$2:$C$59=$Q$6))</f>
        <v>0</v>
      </c>
      <c r="AK92" s="3">
        <f t="shared" si="10"/>
        <v>0</v>
      </c>
      <c r="AL92" s="3">
        <v>18.079999999999998</v>
      </c>
      <c r="AM92" s="2" cm="1">
        <f t="array" ref="AM92">SUM($F$2:$F$59*($C$2:$C$59=$Q$8))</f>
        <v>0</v>
      </c>
      <c r="AN92" s="3">
        <f t="shared" si="11"/>
        <v>0</v>
      </c>
      <c r="AO92" s="3">
        <f>SUM(J2:J59)</f>
        <v>1376.3100000000004</v>
      </c>
      <c r="AP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3955.6452660000004</v>
      </c>
      <c r="AQ92" s="3" cm="1">
        <f t="array" aca="1" ref="AQ92" ca="1">OFFSET(Table7[[#This Row],[Investment Increase]],0,-1)-SUM($J$2:$J$59*($E$2:$E$59=$Q$31))</f>
        <v>516.64526600000045</v>
      </c>
    </row>
    <row r="93" spans="22:43" x14ac:dyDescent="0.45">
      <c r="V93" s="9">
        <v>44614</v>
      </c>
      <c r="W93" s="3">
        <v>168.45</v>
      </c>
      <c r="X93" s="2" cm="1">
        <f t="array" ref="X93">SUM($F$2:$F$59*($C$2:$C$59=$Q$2))</f>
        <v>4.3230000000000004</v>
      </c>
      <c r="Y93" s="3">
        <f t="shared" si="6"/>
        <v>728.20934999999997</v>
      </c>
      <c r="Z93" s="3">
        <v>151.13999999999999</v>
      </c>
      <c r="AA93" s="2" cm="1">
        <f t="array" ref="AA93">SUM($F$2:$F$59*($C$2:$C$59=$Q$3))</f>
        <v>5.8720999999999997</v>
      </c>
      <c r="AB93" s="3">
        <f t="shared" si="7"/>
        <v>887.50919399999987</v>
      </c>
      <c r="AC93" s="3">
        <v>16.510000000000002</v>
      </c>
      <c r="AD93" s="2" cm="1">
        <f t="array" ref="AD93">SUM($F$2:$F$59*($C$2:$C$59=$Q$4))</f>
        <v>21.983000000000001</v>
      </c>
      <c r="AE93" s="3">
        <f t="shared" si="8"/>
        <v>362.93933000000004</v>
      </c>
      <c r="AF93" s="3">
        <v>15.17</v>
      </c>
      <c r="AG93" s="2" cm="1">
        <f t="array" ref="AG93">SUM($F$2:$F$59*($C$2:$C$59=$Q$5))</f>
        <v>43.772999999999996</v>
      </c>
      <c r="AH93" s="3">
        <f t="shared" si="9"/>
        <v>664.03640999999993</v>
      </c>
      <c r="AI93" s="3">
        <v>19.79</v>
      </c>
      <c r="AJ93" s="2" cm="1">
        <f t="array" ref="AJ93">SUM($F$2:$F$59*($C$2:$C$59=$Q$6))</f>
        <v>0</v>
      </c>
      <c r="AK93" s="3">
        <f t="shared" si="10"/>
        <v>0</v>
      </c>
      <c r="AL93" s="3">
        <v>18.03</v>
      </c>
      <c r="AM93" s="2" cm="1">
        <f t="array" ref="AM93">SUM($F$2:$F$59*($C$2:$C$59=$Q$8))</f>
        <v>0</v>
      </c>
      <c r="AN93" s="3">
        <f t="shared" si="11"/>
        <v>0</v>
      </c>
      <c r="AO93" s="3">
        <f>SUM(J2:J59)</f>
        <v>1376.3100000000004</v>
      </c>
      <c r="AP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4019.0042840000006</v>
      </c>
      <c r="AQ93" s="3" cm="1">
        <f t="array" aca="1" ref="AQ93" ca="1">OFFSET(Table7[[#This Row],[Investment Increase]],0,-1)-SUM($J$2:$J$59*($E$2:$E$59=$Q$31))</f>
        <v>580.00428400000055</v>
      </c>
    </row>
    <row r="94" spans="22:43" x14ac:dyDescent="0.45">
      <c r="V94" s="9">
        <v>44610</v>
      </c>
      <c r="W94" s="3">
        <v>170.54</v>
      </c>
      <c r="X94" s="2" cm="1">
        <f t="array" ref="X94">SUM($F$2:$F$59*($C$2:$C$59=$Q$2))</f>
        <v>4.3230000000000004</v>
      </c>
      <c r="Y94" s="3">
        <f t="shared" si="6"/>
        <v>737.24441999999999</v>
      </c>
      <c r="Z94" s="3">
        <v>153.62</v>
      </c>
      <c r="AA94" s="2" cm="1">
        <f t="array" ref="AA94">SUM($F$2:$F$59*($C$2:$C$59=$Q$3))</f>
        <v>5.8720999999999997</v>
      </c>
      <c r="AB94" s="3">
        <f t="shared" si="7"/>
        <v>902.072002</v>
      </c>
      <c r="AC94" s="3">
        <v>16.739999999999998</v>
      </c>
      <c r="AD94" s="2" cm="1">
        <f t="array" ref="AD94">SUM($F$2:$F$59*($C$2:$C$59=$Q$4))</f>
        <v>21.983000000000001</v>
      </c>
      <c r="AE94" s="3">
        <f t="shared" si="8"/>
        <v>367.99541999999997</v>
      </c>
      <c r="AF94" s="3">
        <v>15.33</v>
      </c>
      <c r="AG94" s="2" cm="1">
        <f t="array" ref="AG94">SUM($F$2:$F$59*($C$2:$C$59=$Q$5))</f>
        <v>43.772999999999996</v>
      </c>
      <c r="AH94" s="3">
        <f t="shared" si="9"/>
        <v>671.04008999999996</v>
      </c>
      <c r="AI94" s="3">
        <v>20.010000000000002</v>
      </c>
      <c r="AJ94" s="2" cm="1">
        <f t="array" ref="AJ94">SUM($F$2:$F$59*($C$2:$C$59=$Q$6))</f>
        <v>0</v>
      </c>
      <c r="AK94" s="3">
        <f t="shared" si="10"/>
        <v>0</v>
      </c>
      <c r="AL94" s="3">
        <v>18.18</v>
      </c>
      <c r="AM94" s="2" cm="1">
        <f t="array" ref="AM94">SUM($F$2:$F$59*($C$2:$C$59=$Q$8))</f>
        <v>0</v>
      </c>
      <c r="AN94" s="3">
        <f t="shared" si="11"/>
        <v>0</v>
      </c>
      <c r="AO94" s="3">
        <f>SUM(J2:J59)</f>
        <v>1376.3100000000004</v>
      </c>
      <c r="AP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4054.661932</v>
      </c>
      <c r="AQ94" s="3" cm="1">
        <f t="array" aca="1" ref="AQ94" ca="1">OFFSET(Table7[[#This Row],[Investment Increase]],0,-1)-SUM($J$2:$J$59*($E$2:$E$59=$Q$31))</f>
        <v>615.66193199999998</v>
      </c>
    </row>
    <row r="95" spans="22:43" x14ac:dyDescent="0.45">
      <c r="V95" s="9">
        <v>44609</v>
      </c>
      <c r="W95" s="3">
        <v>172.61</v>
      </c>
      <c r="X95" s="2" cm="1">
        <f t="array" ref="X95">SUM($F$2:$F$59*($C$2:$C$59=$Q$2))</f>
        <v>4.3230000000000004</v>
      </c>
      <c r="Y95" s="3">
        <f t="shared" si="6"/>
        <v>746.19303000000014</v>
      </c>
      <c r="Z95" s="3">
        <v>156.08000000000001</v>
      </c>
      <c r="AA95" s="2" cm="1">
        <f t="array" ref="AA95">SUM($F$2:$F$59*($C$2:$C$59=$Q$3))</f>
        <v>5.8720999999999997</v>
      </c>
      <c r="AB95" s="3">
        <f t="shared" si="7"/>
        <v>916.51736800000003</v>
      </c>
      <c r="AC95" s="3">
        <v>16.989999999999998</v>
      </c>
      <c r="AD95" s="2" cm="1">
        <f t="array" ref="AD95">SUM($F$2:$F$59*($C$2:$C$59=$Q$4))</f>
        <v>21.983000000000001</v>
      </c>
      <c r="AE95" s="3">
        <f t="shared" si="8"/>
        <v>373.49116999999995</v>
      </c>
      <c r="AF95" s="3">
        <v>15.45</v>
      </c>
      <c r="AG95" s="2" cm="1">
        <f t="array" ref="AG95">SUM($F$2:$F$59*($C$2:$C$59=$Q$5))</f>
        <v>43.772999999999996</v>
      </c>
      <c r="AH95" s="3">
        <f t="shared" si="9"/>
        <v>676.29284999999993</v>
      </c>
      <c r="AI95" s="3">
        <v>20.149999999999999</v>
      </c>
      <c r="AJ95" s="2" cm="1">
        <f t="array" ref="AJ95">SUM($F$2:$F$59*($C$2:$C$59=$Q$6))</f>
        <v>0</v>
      </c>
      <c r="AK95" s="3">
        <f t="shared" si="10"/>
        <v>0</v>
      </c>
      <c r="AL95" s="3">
        <v>18.329999999999998</v>
      </c>
      <c r="AM95" s="2" cm="1">
        <f t="array" ref="AM95">SUM($F$2:$F$59*($C$2:$C$59=$Q$8))</f>
        <v>0</v>
      </c>
      <c r="AN95" s="3">
        <f t="shared" si="11"/>
        <v>0</v>
      </c>
      <c r="AO95" s="3">
        <f>SUM(J2:J59)</f>
        <v>1376.3100000000004</v>
      </c>
      <c r="AP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4088.8044180000006</v>
      </c>
      <c r="AQ95" s="3" cm="1">
        <f t="array" aca="1" ref="AQ95" ca="1">OFFSET(Table7[[#This Row],[Investment Increase]],0,-1)-SUM($J$2:$J$59*($E$2:$E$59=$Q$31))</f>
        <v>649.80441800000062</v>
      </c>
    </row>
    <row r="96" spans="22:43" x14ac:dyDescent="0.45">
      <c r="V96" s="9">
        <v>44608</v>
      </c>
      <c r="W96" s="3">
        <v>177.82</v>
      </c>
      <c r="X96" s="2" cm="1">
        <f t="array" ref="X96">SUM($F$2:$F$59*($C$2:$C$59=$Q$2))</f>
        <v>4.3230000000000004</v>
      </c>
      <c r="Y96" s="3">
        <f t="shared" si="6"/>
        <v>768.71586000000002</v>
      </c>
      <c r="Z96" s="3">
        <v>161.80000000000001</v>
      </c>
      <c r="AA96" s="2" cm="1">
        <f t="array" ref="AA96">SUM($F$2:$F$59*($C$2:$C$59=$Q$3))</f>
        <v>5.8720999999999997</v>
      </c>
      <c r="AB96" s="3">
        <f t="shared" si="7"/>
        <v>950.10577999999998</v>
      </c>
      <c r="AC96" s="3">
        <v>17.54</v>
      </c>
      <c r="AD96" s="2" cm="1">
        <f t="array" ref="AD96">SUM($F$2:$F$59*($C$2:$C$59=$Q$4))</f>
        <v>21.983000000000001</v>
      </c>
      <c r="AE96" s="3">
        <f t="shared" si="8"/>
        <v>385.58181999999999</v>
      </c>
      <c r="AF96" s="3">
        <v>15.8</v>
      </c>
      <c r="AG96" s="2" cm="1">
        <f t="array" ref="AG96">SUM($F$2:$F$59*($C$2:$C$59=$Q$5))</f>
        <v>43.772999999999996</v>
      </c>
      <c r="AH96" s="3">
        <f t="shared" si="9"/>
        <v>691.61339999999996</v>
      </c>
      <c r="AI96" s="3">
        <v>20.58</v>
      </c>
      <c r="AJ96" s="2" cm="1">
        <f t="array" ref="AJ96">SUM($F$2:$F$59*($C$2:$C$59=$Q$6))</f>
        <v>0</v>
      </c>
      <c r="AK96" s="3">
        <f t="shared" si="10"/>
        <v>0</v>
      </c>
      <c r="AL96" s="3">
        <v>18.39</v>
      </c>
      <c r="AM96" s="2" cm="1">
        <f t="array" ref="AM96">SUM($F$2:$F$59*($C$2:$C$59=$Q$8))</f>
        <v>0</v>
      </c>
      <c r="AN96" s="3">
        <f t="shared" si="11"/>
        <v>0</v>
      </c>
      <c r="AO96" s="3">
        <f>SUM(J2:J59)</f>
        <v>1376.3100000000004</v>
      </c>
      <c r="AP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4172.3268600000001</v>
      </c>
      <c r="AQ96" s="3" cm="1">
        <f t="array" aca="1" ref="AQ96" ca="1">OFFSET(Table7[[#This Row],[Investment Increase]],0,-1)-SUM($J$2:$J$59*($E$2:$E$59=$Q$31))</f>
        <v>733.32686000000012</v>
      </c>
    </row>
    <row r="97" spans="22:43" x14ac:dyDescent="0.45">
      <c r="V97" s="9">
        <v>44607</v>
      </c>
      <c r="W97" s="3">
        <v>177.97</v>
      </c>
      <c r="X97" s="2" cm="1">
        <f t="array" ref="X97">SUM($F$2:$F$59*($C$2:$C$59=$Q$2))</f>
        <v>4.3230000000000004</v>
      </c>
      <c r="Y97" s="3">
        <f t="shared" si="6"/>
        <v>769.36431000000005</v>
      </c>
      <c r="Z97" s="3">
        <v>162.57</v>
      </c>
      <c r="AA97" s="2" cm="1">
        <f t="array" ref="AA97">SUM($F$2:$F$59*($C$2:$C$59=$Q$3))</f>
        <v>5.8720999999999997</v>
      </c>
      <c r="AB97" s="3">
        <f t="shared" si="7"/>
        <v>954.62729699999988</v>
      </c>
      <c r="AC97" s="3">
        <v>17.600000000000001</v>
      </c>
      <c r="AD97" s="2" cm="1">
        <f t="array" ref="AD97">SUM($F$2:$F$59*($C$2:$C$59=$Q$4))</f>
        <v>21.983000000000001</v>
      </c>
      <c r="AE97" s="3">
        <f t="shared" si="8"/>
        <v>386.90080000000006</v>
      </c>
      <c r="AF97" s="3">
        <v>15.8</v>
      </c>
      <c r="AG97" s="2" cm="1">
        <f t="array" ref="AG97">SUM($F$2:$F$59*($C$2:$C$59=$Q$5))</f>
        <v>43.772999999999996</v>
      </c>
      <c r="AH97" s="3">
        <f t="shared" si="9"/>
        <v>691.61339999999996</v>
      </c>
      <c r="AI97" s="3">
        <v>20.55</v>
      </c>
      <c r="AJ97" s="2" cm="1">
        <f t="array" ref="AJ97">SUM($F$2:$F$59*($C$2:$C$59=$Q$6))</f>
        <v>0</v>
      </c>
      <c r="AK97" s="3">
        <f t="shared" si="10"/>
        <v>0</v>
      </c>
      <c r="AL97" s="3">
        <v>18.170000000000002</v>
      </c>
      <c r="AM97" s="2" cm="1">
        <f t="array" ref="AM97">SUM($F$2:$F$59*($C$2:$C$59=$Q$8))</f>
        <v>0</v>
      </c>
      <c r="AN97" s="3">
        <f t="shared" si="11"/>
        <v>0</v>
      </c>
      <c r="AO97" s="3">
        <f>SUM(J2:J59)</f>
        <v>1376.3100000000004</v>
      </c>
      <c r="AP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4178.8158069999999</v>
      </c>
      <c r="AQ97" s="3" cm="1">
        <f t="array" aca="1" ref="AQ97" ca="1">OFFSET(Table7[[#This Row],[Investment Increase]],0,-1)-SUM($J$2:$J$59*($E$2:$E$59=$Q$31))</f>
        <v>739.81580699999995</v>
      </c>
    </row>
    <row r="98" spans="22:43" x14ac:dyDescent="0.45">
      <c r="V98" s="9">
        <v>44606</v>
      </c>
      <c r="W98" s="3">
        <v>173.58</v>
      </c>
      <c r="X98" s="2" cm="1">
        <f t="array" ref="X98">SUM($F$2:$F$59*($C$2:$C$59=$Q$2))</f>
        <v>4.3230000000000004</v>
      </c>
      <c r="Y98" s="3">
        <f t="shared" si="6"/>
        <v>750.38634000000013</v>
      </c>
      <c r="Z98" s="3">
        <v>157.47999999999999</v>
      </c>
      <c r="AA98" s="2" cm="1">
        <f t="array" ref="AA98">SUM($F$2:$F$59*($C$2:$C$59=$Q$3))</f>
        <v>5.8720999999999997</v>
      </c>
      <c r="AB98" s="3">
        <f t="shared" si="7"/>
        <v>924.73830799999985</v>
      </c>
      <c r="AC98" s="3">
        <v>17.149999999999999</v>
      </c>
      <c r="AD98" s="2" cm="1">
        <f t="array" ref="AD98">SUM($F$2:$F$59*($C$2:$C$59=$Q$4))</f>
        <v>21.983000000000001</v>
      </c>
      <c r="AE98" s="3">
        <f t="shared" si="8"/>
        <v>377.00844999999998</v>
      </c>
      <c r="AF98" s="3">
        <v>15.54</v>
      </c>
      <c r="AG98" s="2" cm="1">
        <f t="array" ref="AG98">SUM($F$2:$F$59*($C$2:$C$59=$Q$5))</f>
        <v>43.772999999999996</v>
      </c>
      <c r="AH98" s="3">
        <f t="shared" si="9"/>
        <v>680.23241999999993</v>
      </c>
      <c r="AI98" s="3">
        <v>20.260000000000002</v>
      </c>
      <c r="AJ98" s="2" cm="1">
        <f t="array" ref="AJ98">SUM($F$2:$F$59*($C$2:$C$59=$Q$6))</f>
        <v>0</v>
      </c>
      <c r="AK98" s="3">
        <f t="shared" si="10"/>
        <v>0</v>
      </c>
      <c r="AL98" s="3">
        <v>18.2</v>
      </c>
      <c r="AM98" s="2" cm="1">
        <f t="array" ref="AM98">SUM($F$2:$F$59*($C$2:$C$59=$Q$8))</f>
        <v>0</v>
      </c>
      <c r="AN98" s="3">
        <f t="shared" si="11"/>
        <v>0</v>
      </c>
      <c r="AO98" s="3">
        <f>SUM(J2:J59)</f>
        <v>1376.3100000000004</v>
      </c>
      <c r="AP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4108.675518</v>
      </c>
      <c r="AQ98" s="3" cm="1">
        <f t="array" aca="1" ref="AQ98" ca="1">OFFSET(Table7[[#This Row],[Investment Increase]],0,-1)-SUM($J$2:$J$59*($E$2:$E$59=$Q$31))</f>
        <v>669.67551800000001</v>
      </c>
    </row>
    <row r="99" spans="22:43" x14ac:dyDescent="0.45">
      <c r="V99" s="9">
        <v>44603</v>
      </c>
      <c r="W99" s="3">
        <v>173.56</v>
      </c>
      <c r="X99" s="2" cm="1">
        <f t="array" ref="X99">SUM($F$2:$F$59*($C$2:$C$59=$Q$2))</f>
        <v>4.3230000000000004</v>
      </c>
      <c r="Y99" s="3">
        <f t="shared" si="6"/>
        <v>750.29988000000003</v>
      </c>
      <c r="Z99" s="3">
        <v>157.69999999999999</v>
      </c>
      <c r="AA99" s="2" cm="1">
        <f t="array" ref="AA99">SUM($F$2:$F$59*($C$2:$C$59=$Q$3))</f>
        <v>5.8720999999999997</v>
      </c>
      <c r="AB99" s="3">
        <f t="shared" si="7"/>
        <v>926.03016999999988</v>
      </c>
      <c r="AC99" s="3">
        <v>17.149999999999999</v>
      </c>
      <c r="AD99" s="2" cm="1">
        <f t="array" ref="AD99">SUM($F$2:$F$59*($C$2:$C$59=$Q$4))</f>
        <v>21.983000000000001</v>
      </c>
      <c r="AE99" s="3">
        <f t="shared" si="8"/>
        <v>377.00844999999998</v>
      </c>
      <c r="AF99" s="3">
        <v>15.6</v>
      </c>
      <c r="AG99" s="2" cm="1">
        <f t="array" ref="AG99">SUM($F$2:$F$59*($C$2:$C$59=$Q$5))</f>
        <v>43.772999999999996</v>
      </c>
      <c r="AH99" s="3">
        <f t="shared" si="9"/>
        <v>682.85879999999997</v>
      </c>
      <c r="AI99" s="3">
        <v>20.350000000000001</v>
      </c>
      <c r="AJ99" s="2" cm="1">
        <f t="array" ref="AJ99">SUM($F$2:$F$59*($C$2:$C$59=$Q$6))</f>
        <v>0</v>
      </c>
      <c r="AK99" s="3">
        <f t="shared" si="10"/>
        <v>0</v>
      </c>
      <c r="AL99" s="3">
        <v>18.45</v>
      </c>
      <c r="AM99" s="2" cm="1">
        <f t="array" ref="AM99">SUM($F$2:$F$59*($C$2:$C$59=$Q$8))</f>
        <v>0</v>
      </c>
      <c r="AN99" s="3">
        <f t="shared" si="11"/>
        <v>0</v>
      </c>
      <c r="AO99" s="3">
        <f>SUM(J2:J59)</f>
        <v>1376.3100000000004</v>
      </c>
      <c r="AP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4112.5073000000002</v>
      </c>
      <c r="AQ99" s="3" cm="1">
        <f t="array" aca="1" ref="AQ99" ca="1">OFFSET(Table7[[#This Row],[Investment Increase]],0,-1)-SUM($J$2:$J$59*($E$2:$E$59=$Q$31))</f>
        <v>673.50730000000021</v>
      </c>
    </row>
    <row r="100" spans="22:43" x14ac:dyDescent="0.45">
      <c r="V100" s="9">
        <v>44602</v>
      </c>
      <c r="W100" s="3">
        <v>178.52</v>
      </c>
      <c r="X100" s="2" cm="1">
        <f t="array" ref="X100">SUM($F$2:$F$59*($C$2:$C$59=$Q$2))</f>
        <v>4.3230000000000004</v>
      </c>
      <c r="Y100" s="3">
        <f t="shared" si="6"/>
        <v>771.74196000000006</v>
      </c>
      <c r="Z100" s="3">
        <v>163.29</v>
      </c>
      <c r="AA100" s="2" cm="1">
        <f t="array" ref="AA100">SUM($F$2:$F$59*($C$2:$C$59=$Q$3))</f>
        <v>5.8720999999999997</v>
      </c>
      <c r="AB100" s="3">
        <f t="shared" si="7"/>
        <v>958.85520899999995</v>
      </c>
      <c r="AC100" s="3">
        <v>17.68</v>
      </c>
      <c r="AD100" s="2" cm="1">
        <f t="array" ref="AD100">SUM($F$2:$F$59*($C$2:$C$59=$Q$4))</f>
        <v>21.983000000000001</v>
      </c>
      <c r="AE100" s="3">
        <f t="shared" si="8"/>
        <v>388.65944000000002</v>
      </c>
      <c r="AF100" s="3">
        <v>15.91</v>
      </c>
      <c r="AG100" s="2" cm="1">
        <f t="array" ref="AG100">SUM($F$2:$F$59*($C$2:$C$59=$Q$5))</f>
        <v>43.772999999999996</v>
      </c>
      <c r="AH100" s="3">
        <f t="shared" si="9"/>
        <v>696.42842999999993</v>
      </c>
      <c r="AI100" s="3">
        <v>20.71</v>
      </c>
      <c r="AJ100" s="2" cm="1">
        <f t="array" ref="AJ100">SUM($F$2:$F$59*($C$2:$C$59=$Q$6))</f>
        <v>0</v>
      </c>
      <c r="AK100" s="3">
        <f t="shared" si="10"/>
        <v>0</v>
      </c>
      <c r="AL100" s="3">
        <v>18.2</v>
      </c>
      <c r="AM100" s="2" cm="1">
        <f t="array" ref="AM100">SUM($F$2:$F$59*($C$2:$C$59=$Q$8))</f>
        <v>0</v>
      </c>
      <c r="AN100" s="3">
        <f t="shared" si="11"/>
        <v>0</v>
      </c>
      <c r="AO100" s="3">
        <f>SUM(J2:J59)</f>
        <v>1376.3100000000004</v>
      </c>
      <c r="AP1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4191.9950390000004</v>
      </c>
      <c r="AQ100" s="3" cm="1">
        <f t="array" aca="1" ref="AQ100" ca="1">OFFSET(Table7[[#This Row],[Investment Increase]],0,-1)-SUM($J$2:$J$59*($E$2:$E$59=$Q$31))</f>
        <v>752.99503900000036</v>
      </c>
    </row>
    <row r="101" spans="22:43" x14ac:dyDescent="0.45">
      <c r="V101" s="9">
        <v>44601</v>
      </c>
      <c r="W101" s="3">
        <v>182.36</v>
      </c>
      <c r="X101" s="2" cm="1">
        <f t="array" ref="X101">SUM($F$2:$F$59*($C$2:$C$59=$Q$2))</f>
        <v>4.3230000000000004</v>
      </c>
      <c r="Y101" s="3">
        <f t="shared" si="6"/>
        <v>788.34228000000019</v>
      </c>
      <c r="Z101" s="3">
        <v>166.77</v>
      </c>
      <c r="AA101" s="2" cm="1">
        <f t="array" ref="AA101">SUM($F$2:$F$59*($C$2:$C$59=$Q$3))</f>
        <v>5.8720999999999997</v>
      </c>
      <c r="AB101" s="3">
        <f t="shared" si="7"/>
        <v>979.29011700000001</v>
      </c>
      <c r="AC101" s="3">
        <v>18.05</v>
      </c>
      <c r="AD101" s="2" cm="1">
        <f t="array" ref="AD101">SUM($F$2:$F$59*($C$2:$C$59=$Q$4))</f>
        <v>21.983000000000001</v>
      </c>
      <c r="AE101" s="3">
        <f t="shared" si="8"/>
        <v>396.79315000000003</v>
      </c>
      <c r="AF101" s="3">
        <v>16.2</v>
      </c>
      <c r="AG101" s="2" cm="1">
        <f t="array" ref="AG101">SUM($F$2:$F$59*($C$2:$C$59=$Q$5))</f>
        <v>43.772999999999996</v>
      </c>
      <c r="AH101" s="3">
        <f t="shared" si="9"/>
        <v>709.12259999999992</v>
      </c>
      <c r="AI101" s="3">
        <v>21.09</v>
      </c>
      <c r="AJ101" s="2" cm="1">
        <f t="array" ref="AJ101">SUM($F$2:$F$59*($C$2:$C$59=$Q$6))</f>
        <v>0</v>
      </c>
      <c r="AK101" s="3">
        <f t="shared" si="10"/>
        <v>0</v>
      </c>
      <c r="AL101" s="3">
        <v>18.23</v>
      </c>
      <c r="AM101" s="2" cm="1">
        <f t="array" ref="AM101">SUM($F$2:$F$59*($C$2:$C$59=$Q$8))</f>
        <v>0</v>
      </c>
      <c r="AN101" s="3">
        <f t="shared" si="11"/>
        <v>0</v>
      </c>
      <c r="AO101" s="3">
        <f>SUM(J2:J59)</f>
        <v>1376.3100000000004</v>
      </c>
      <c r="AP1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4249.8581470000008</v>
      </c>
      <c r="AQ101" s="3" cm="1">
        <f t="array" aca="1" ref="AQ101" ca="1">OFFSET(Table7[[#This Row],[Investment Increase]],0,-1)-SUM($J$2:$J$59*($E$2:$E$59=$Q$31))</f>
        <v>810.85814700000083</v>
      </c>
    </row>
    <row r="102" spans="22:43" x14ac:dyDescent="0.45">
      <c r="V102" s="9">
        <v>44600</v>
      </c>
      <c r="W102" s="3">
        <v>178.64</v>
      </c>
      <c r="X102" s="2" cm="1">
        <f t="array" ref="X102">SUM($F$2:$F$59*($C$2:$C$59=$Q$2))</f>
        <v>4.3230000000000004</v>
      </c>
      <c r="Y102" s="3">
        <f t="shared" si="6"/>
        <v>772.26071999999999</v>
      </c>
      <c r="Z102" s="3">
        <v>162.52000000000001</v>
      </c>
      <c r="AA102" s="2" cm="1">
        <f t="array" ref="AA102">SUM($F$2:$F$59*($C$2:$C$59=$Q$3))</f>
        <v>5.8720999999999997</v>
      </c>
      <c r="AB102" s="3">
        <f t="shared" si="7"/>
        <v>954.33369200000004</v>
      </c>
      <c r="AC102" s="3">
        <v>17.66</v>
      </c>
      <c r="AD102" s="2" cm="1">
        <f t="array" ref="AD102">SUM($F$2:$F$59*($C$2:$C$59=$Q$4))</f>
        <v>21.983000000000001</v>
      </c>
      <c r="AE102" s="3">
        <f t="shared" si="8"/>
        <v>388.21978000000001</v>
      </c>
      <c r="AF102" s="3">
        <v>15.95</v>
      </c>
      <c r="AG102" s="2" cm="1">
        <f t="array" ref="AG102">SUM($F$2:$F$59*($C$2:$C$59=$Q$5))</f>
        <v>43.772999999999996</v>
      </c>
      <c r="AH102" s="3">
        <f t="shared" si="9"/>
        <v>698.17934999999989</v>
      </c>
      <c r="AI102" s="3">
        <v>20.8</v>
      </c>
      <c r="AJ102" s="2" cm="1">
        <f t="array" ref="AJ102">SUM($F$2:$F$59*($C$2:$C$59=$Q$6))</f>
        <v>0</v>
      </c>
      <c r="AK102" s="3">
        <f t="shared" si="10"/>
        <v>0</v>
      </c>
      <c r="AL102" s="3">
        <v>18</v>
      </c>
      <c r="AM102" s="2" cm="1">
        <f t="array" ref="AM102">SUM($F$2:$F$59*($C$2:$C$59=$Q$8))</f>
        <v>0</v>
      </c>
      <c r="AN102" s="3">
        <f t="shared" si="11"/>
        <v>0</v>
      </c>
      <c r="AO102" s="3">
        <f>SUM(J2:J59)</f>
        <v>1376.3100000000004</v>
      </c>
      <c r="AP1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4189.3035419999997</v>
      </c>
      <c r="AQ102" s="3" cm="1">
        <f t="array" aca="1" ref="AQ102" ca="1">OFFSET(Table7[[#This Row],[Investment Increase]],0,-1)-SUM($J$2:$J$59*($E$2:$E$59=$Q$31))</f>
        <v>750.30354199999965</v>
      </c>
    </row>
    <row r="103" spans="22:43" x14ac:dyDescent="0.45">
      <c r="V103" s="9">
        <v>44599</v>
      </c>
      <c r="W103" s="3">
        <v>176.39</v>
      </c>
      <c r="X103" s="2" cm="1">
        <f t="array" ref="X103">SUM($F$2:$F$59*($C$2:$C$59=$Q$2))</f>
        <v>4.3230000000000004</v>
      </c>
      <c r="Y103" s="3">
        <f t="shared" si="6"/>
        <v>762.53397000000007</v>
      </c>
      <c r="Z103" s="3">
        <v>159.94999999999999</v>
      </c>
      <c r="AA103" s="2" cm="1">
        <f t="array" ref="AA103">SUM($F$2:$F$59*($C$2:$C$59=$Q$3))</f>
        <v>5.8720999999999997</v>
      </c>
      <c r="AB103" s="3">
        <f t="shared" si="7"/>
        <v>939.24239499999987</v>
      </c>
      <c r="AC103" s="3">
        <v>17.45</v>
      </c>
      <c r="AD103" s="2" cm="1">
        <f t="array" ref="AD103">SUM($F$2:$F$59*($C$2:$C$59=$Q$4))</f>
        <v>21.983000000000001</v>
      </c>
      <c r="AE103" s="3">
        <f t="shared" si="8"/>
        <v>383.60334999999998</v>
      </c>
      <c r="AF103" s="3">
        <v>15.82</v>
      </c>
      <c r="AG103" s="2" cm="1">
        <f t="array" ref="AG103">SUM($F$2:$F$59*($C$2:$C$59=$Q$5))</f>
        <v>43.772999999999996</v>
      </c>
      <c r="AH103" s="3">
        <f t="shared" si="9"/>
        <v>692.48885999999993</v>
      </c>
      <c r="AI103" s="3">
        <v>20.62</v>
      </c>
      <c r="AJ103" s="2" cm="1">
        <f t="array" ref="AJ103">SUM($F$2:$F$59*($C$2:$C$59=$Q$6))</f>
        <v>0</v>
      </c>
      <c r="AK103" s="3">
        <f t="shared" si="10"/>
        <v>0</v>
      </c>
      <c r="AL103" s="3">
        <v>17.920000000000002</v>
      </c>
      <c r="AM103" s="2" cm="1">
        <f t="array" ref="AM103">SUM($F$2:$F$59*($C$2:$C$59=$Q$8))</f>
        <v>0</v>
      </c>
      <c r="AN103" s="3">
        <f t="shared" si="11"/>
        <v>0</v>
      </c>
      <c r="AO103" s="3">
        <f>SUM(J2:J59)</f>
        <v>1376.3100000000004</v>
      </c>
      <c r="AP1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4154.1785749999999</v>
      </c>
      <c r="AQ103" s="3" cm="1">
        <f t="array" aca="1" ref="AQ103" ca="1">OFFSET(Table7[[#This Row],[Investment Increase]],0,-1)-SUM($J$2:$J$59*($E$2:$E$59=$Q$31))</f>
        <v>715.17857499999991</v>
      </c>
    </row>
    <row r="104" spans="22:43" x14ac:dyDescent="0.45">
      <c r="V104" s="9">
        <v>44596</v>
      </c>
      <c r="W104" s="3">
        <v>177.44</v>
      </c>
      <c r="X104" s="2" cm="1">
        <f t="array" ref="X104">SUM($F$2:$F$59*($C$2:$C$59=$Q$2))</f>
        <v>4.3230000000000004</v>
      </c>
      <c r="Y104" s="3">
        <f t="shared" si="6"/>
        <v>767.07312000000002</v>
      </c>
      <c r="Z104" s="3">
        <v>160.61000000000001</v>
      </c>
      <c r="AA104" s="2" cm="1">
        <f t="array" ref="AA104">SUM($F$2:$F$59*($C$2:$C$59=$Q$3))</f>
        <v>5.8720999999999997</v>
      </c>
      <c r="AB104" s="3">
        <f t="shared" si="7"/>
        <v>943.11798099999999</v>
      </c>
      <c r="AC104" s="3">
        <v>17.59</v>
      </c>
      <c r="AD104" s="2" cm="1">
        <f t="array" ref="AD104">SUM($F$2:$F$59*($C$2:$C$59=$Q$4))</f>
        <v>21.983000000000001</v>
      </c>
      <c r="AE104" s="3">
        <f t="shared" si="8"/>
        <v>386.68097</v>
      </c>
      <c r="AF104" s="3">
        <v>15.88</v>
      </c>
      <c r="AG104" s="2" cm="1">
        <f t="array" ref="AG104">SUM($F$2:$F$59*($C$2:$C$59=$Q$5))</f>
        <v>43.772999999999996</v>
      </c>
      <c r="AH104" s="3">
        <f t="shared" si="9"/>
        <v>695.11523999999997</v>
      </c>
      <c r="AI104" s="3">
        <v>20.7</v>
      </c>
      <c r="AJ104" s="2" cm="1">
        <f t="array" ref="AJ104">SUM($F$2:$F$59*($C$2:$C$59=$Q$6))</f>
        <v>0</v>
      </c>
      <c r="AK104" s="3">
        <f t="shared" si="10"/>
        <v>0</v>
      </c>
      <c r="AL104" s="3">
        <v>17.78</v>
      </c>
      <c r="AM104" s="2" cm="1">
        <f t="array" ref="AM104">SUM($F$2:$F$59*($C$2:$C$59=$Q$8))</f>
        <v>0</v>
      </c>
      <c r="AN104" s="3">
        <f t="shared" si="11"/>
        <v>0</v>
      </c>
      <c r="AO104" s="3">
        <f>SUM(J2:J59)</f>
        <v>1376.3100000000004</v>
      </c>
      <c r="AP1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4168.2973110000003</v>
      </c>
      <c r="AQ104" s="3" cm="1">
        <f t="array" aca="1" ref="AQ104" ca="1">OFFSET(Table7[[#This Row],[Investment Increase]],0,-1)-SUM($J$2:$J$59*($E$2:$E$59=$Q$31))</f>
        <v>729.29731100000026</v>
      </c>
    </row>
    <row r="105" spans="22:43" x14ac:dyDescent="0.45">
      <c r="V105" s="9">
        <v>44595</v>
      </c>
      <c r="W105" s="3">
        <v>174.64</v>
      </c>
      <c r="X105" s="2" cm="1">
        <f t="array" ref="X105">SUM($F$2:$F$59*($C$2:$C$59=$Q$2))</f>
        <v>4.3230000000000004</v>
      </c>
      <c r="Y105" s="3">
        <f t="shared" si="6"/>
        <v>754.96871999999996</v>
      </c>
      <c r="Z105" s="3">
        <v>156.66</v>
      </c>
      <c r="AA105" s="2" cm="1">
        <f t="array" ref="AA105">SUM($F$2:$F$59*($C$2:$C$59=$Q$3))</f>
        <v>5.8720999999999997</v>
      </c>
      <c r="AB105" s="3">
        <f t="shared" si="7"/>
        <v>919.92318599999987</v>
      </c>
      <c r="AC105" s="3">
        <v>17.190000000000001</v>
      </c>
      <c r="AD105" s="2" cm="1">
        <f t="array" ref="AD105">SUM($F$2:$F$59*($C$2:$C$59=$Q$4))</f>
        <v>21.983000000000001</v>
      </c>
      <c r="AE105" s="3">
        <f t="shared" si="8"/>
        <v>377.88777000000005</v>
      </c>
      <c r="AF105" s="3">
        <v>15.77</v>
      </c>
      <c r="AG105" s="2" cm="1">
        <f t="array" ref="AG105">SUM($F$2:$F$59*($C$2:$C$59=$Q$5))</f>
        <v>43.772999999999996</v>
      </c>
      <c r="AH105" s="3">
        <f t="shared" si="9"/>
        <v>690.30020999999988</v>
      </c>
      <c r="AI105" s="3">
        <v>20.58</v>
      </c>
      <c r="AJ105" s="2" cm="1">
        <f t="array" ref="AJ105">SUM($F$2:$F$59*($C$2:$C$59=$Q$6))</f>
        <v>0</v>
      </c>
      <c r="AK105" s="3">
        <f t="shared" si="10"/>
        <v>0</v>
      </c>
      <c r="AL105" s="3">
        <v>17.579999999999998</v>
      </c>
      <c r="AM105" s="2" cm="1">
        <f t="array" ref="AM105">SUM($F$2:$F$59*($C$2:$C$59=$Q$8))</f>
        <v>0</v>
      </c>
      <c r="AN105" s="3">
        <f t="shared" si="11"/>
        <v>0</v>
      </c>
      <c r="AO105" s="3">
        <f>SUM(J2:J59)</f>
        <v>1376.3100000000004</v>
      </c>
      <c r="AP1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4119.3898860000008</v>
      </c>
      <c r="AQ105" s="3" cm="1">
        <f t="array" aca="1" ref="AQ105" ca="1">OFFSET(Table7[[#This Row],[Investment Increase]],0,-1)-SUM($J$2:$J$59*($E$2:$E$59=$Q$31))</f>
        <v>680.38988600000084</v>
      </c>
    </row>
    <row r="106" spans="22:43" x14ac:dyDescent="0.45">
      <c r="V106" s="9">
        <v>44594</v>
      </c>
      <c r="W106" s="3">
        <v>181.42</v>
      </c>
      <c r="X106" s="2" cm="1">
        <f t="array" ref="X106">SUM($F$2:$F$59*($C$2:$C$59=$Q$2))</f>
        <v>4.3230000000000004</v>
      </c>
      <c r="Y106" s="3">
        <f t="shared" si="6"/>
        <v>784.27866000000006</v>
      </c>
      <c r="Z106" s="3">
        <v>164.57</v>
      </c>
      <c r="AA106" s="2" cm="1">
        <f t="array" ref="AA106">SUM($F$2:$F$59*($C$2:$C$59=$Q$3))</f>
        <v>5.8720999999999997</v>
      </c>
      <c r="AB106" s="3">
        <f t="shared" si="7"/>
        <v>966.37149699999986</v>
      </c>
      <c r="AC106" s="3">
        <v>18</v>
      </c>
      <c r="AD106" s="2" cm="1">
        <f t="array" ref="AD106">SUM($F$2:$F$59*($C$2:$C$59=$Q$4))</f>
        <v>21.983000000000001</v>
      </c>
      <c r="AE106" s="3">
        <f t="shared" si="8"/>
        <v>395.69400000000002</v>
      </c>
      <c r="AF106" s="3">
        <v>16.18</v>
      </c>
      <c r="AG106" s="2" cm="1">
        <f t="array" ref="AG106">SUM($F$2:$F$59*($C$2:$C$59=$Q$5))</f>
        <v>43.772999999999996</v>
      </c>
      <c r="AH106" s="3">
        <f t="shared" si="9"/>
        <v>708.24713999999994</v>
      </c>
      <c r="AI106" s="3">
        <v>21.11</v>
      </c>
      <c r="AJ106" s="2" cm="1">
        <f t="array" ref="AJ106">SUM($F$2:$F$59*($C$2:$C$59=$Q$6))</f>
        <v>0</v>
      </c>
      <c r="AK106" s="3">
        <f t="shared" si="10"/>
        <v>0</v>
      </c>
      <c r="AL106" s="3">
        <v>17.75</v>
      </c>
      <c r="AM106" s="2" cm="1">
        <f t="array" ref="AM106">SUM($F$2:$F$59*($C$2:$C$59=$Q$8))</f>
        <v>0</v>
      </c>
      <c r="AN106" s="3">
        <f t="shared" si="11"/>
        <v>0</v>
      </c>
      <c r="AO106" s="3">
        <f>SUM(J2:J59)</f>
        <v>1376.3100000000004</v>
      </c>
      <c r="AP1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4230.9012970000003</v>
      </c>
      <c r="AQ106" s="3" cm="1">
        <f t="array" aca="1" ref="AQ106" ca="1">OFFSET(Table7[[#This Row],[Investment Increase]],0,-1)-SUM($J$2:$J$59*($E$2:$E$59=$Q$31))</f>
        <v>791.90129700000034</v>
      </c>
    </row>
    <row r="107" spans="22:43" x14ac:dyDescent="0.45">
      <c r="V107" s="9">
        <v>44593</v>
      </c>
      <c r="W107" s="3">
        <v>180.51</v>
      </c>
      <c r="X107" s="2" cm="1">
        <f t="array" ref="X107">SUM($F$2:$F$59*($C$2:$C$59=$Q$2))</f>
        <v>4.3230000000000004</v>
      </c>
      <c r="Y107" s="3">
        <f t="shared" si="6"/>
        <v>780.34473000000003</v>
      </c>
      <c r="Z107" s="3">
        <v>164.76</v>
      </c>
      <c r="AA107" s="2" cm="1">
        <f t="array" ref="AA107">SUM($F$2:$F$59*($C$2:$C$59=$Q$3))</f>
        <v>5.8720999999999997</v>
      </c>
      <c r="AB107" s="3">
        <f t="shared" si="7"/>
        <v>967.48719599999993</v>
      </c>
      <c r="AC107" s="3">
        <v>17.89</v>
      </c>
      <c r="AD107" s="2" cm="1">
        <f t="array" ref="AD107">SUM($F$2:$F$59*($C$2:$C$59=$Q$4))</f>
        <v>21.983000000000001</v>
      </c>
      <c r="AE107" s="3">
        <f t="shared" si="8"/>
        <v>393.27587</v>
      </c>
      <c r="AF107" s="3">
        <v>16.05</v>
      </c>
      <c r="AG107" s="2" cm="1">
        <f t="array" ref="AG107">SUM($F$2:$F$59*($C$2:$C$59=$Q$5))</f>
        <v>43.772999999999996</v>
      </c>
      <c r="AH107" s="3">
        <f t="shared" si="9"/>
        <v>702.55664999999999</v>
      </c>
      <c r="AI107" s="3">
        <v>20.89</v>
      </c>
      <c r="AJ107" s="2" cm="1">
        <f t="array" ref="AJ107">SUM($F$2:$F$59*($C$2:$C$59=$Q$6))</f>
        <v>0</v>
      </c>
      <c r="AK107" s="3">
        <f t="shared" si="10"/>
        <v>0</v>
      </c>
      <c r="AL107" s="3">
        <v>17.649999999999999</v>
      </c>
      <c r="AM107" s="2" cm="1">
        <f t="array" ref="AM107">SUM($F$2:$F$59*($C$2:$C$59=$Q$8))</f>
        <v>0</v>
      </c>
      <c r="AN107" s="3">
        <f t="shared" si="11"/>
        <v>0</v>
      </c>
      <c r="AO107" s="3">
        <f>SUM(J2:J59)</f>
        <v>1376.3100000000004</v>
      </c>
      <c r="AP1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4219.9744460000002</v>
      </c>
      <c r="AQ107" s="3" cm="1">
        <f t="array" aca="1" ref="AQ107" ca="1">OFFSET(Table7[[#This Row],[Investment Increase]],0,-1)-SUM($J$2:$J$59*($E$2:$E$59=$Q$31))</f>
        <v>780.97444600000017</v>
      </c>
    </row>
    <row r="108" spans="22:43" x14ac:dyDescent="0.45">
      <c r="V108" s="9">
        <v>44592</v>
      </c>
      <c r="W108" s="3">
        <v>179.19</v>
      </c>
      <c r="X108" s="2" cm="1">
        <f t="array" ref="X108">SUM($F$2:$F$59*($C$2:$C$59=$Q$2))</f>
        <v>4.3230000000000004</v>
      </c>
      <c r="Y108" s="3">
        <f t="shared" si="6"/>
        <v>774.63837000000001</v>
      </c>
      <c r="Z108" s="3">
        <v>162.68</v>
      </c>
      <c r="AA108" s="2" cm="1">
        <f t="array" ref="AA108">SUM($F$2:$F$59*($C$2:$C$59=$Q$3))</f>
        <v>5.8720999999999997</v>
      </c>
      <c r="AB108" s="3">
        <f t="shared" si="7"/>
        <v>955.27322800000002</v>
      </c>
      <c r="AC108" s="3">
        <v>17.72</v>
      </c>
      <c r="AD108" s="2" cm="1">
        <f t="array" ref="AD108">SUM($F$2:$F$59*($C$2:$C$59=$Q$4))</f>
        <v>21.983000000000001</v>
      </c>
      <c r="AE108" s="3">
        <f t="shared" si="8"/>
        <v>389.53875999999997</v>
      </c>
      <c r="AF108" s="3">
        <v>15.93</v>
      </c>
      <c r="AG108" s="2" cm="1">
        <f t="array" ref="AG108">SUM($F$2:$F$59*($C$2:$C$59=$Q$5))</f>
        <v>43.772999999999996</v>
      </c>
      <c r="AH108" s="3">
        <f t="shared" si="9"/>
        <v>697.30388999999991</v>
      </c>
      <c r="AI108" s="3">
        <v>20.73</v>
      </c>
      <c r="AJ108" s="2" cm="1">
        <f t="array" ref="AJ108">SUM($F$2:$F$59*($C$2:$C$59=$Q$6))</f>
        <v>0</v>
      </c>
      <c r="AK108" s="3">
        <f t="shared" si="10"/>
        <v>0</v>
      </c>
      <c r="AL108" s="3">
        <v>17.100000000000001</v>
      </c>
      <c r="AM108" s="2" cm="1">
        <f t="array" ref="AM108">SUM($F$2:$F$59*($C$2:$C$59=$Q$8))</f>
        <v>0</v>
      </c>
      <c r="AN108" s="3">
        <f t="shared" si="11"/>
        <v>0</v>
      </c>
      <c r="AO108" s="3">
        <f>SUM(J2:J59)</f>
        <v>1376.3100000000004</v>
      </c>
      <c r="AP1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4193.0642480000006</v>
      </c>
      <c r="AQ108" s="3" cm="1">
        <f t="array" aca="1" ref="AQ108" ca="1">OFFSET(Table7[[#This Row],[Investment Increase]],0,-1)-SUM($J$2:$J$59*($E$2:$E$59=$Q$31))</f>
        <v>754.06424800000059</v>
      </c>
    </row>
    <row r="109" spans="22:43" x14ac:dyDescent="0.45">
      <c r="V109" s="9">
        <v>44589</v>
      </c>
      <c r="W109" s="3">
        <v>173.29</v>
      </c>
      <c r="X109" s="2" cm="1">
        <f t="array" ref="X109">SUM($F$2:$F$59*($C$2:$C$59=$Q$2))</f>
        <v>4.3230000000000004</v>
      </c>
      <c r="Y109" s="3">
        <f t="shared" si="6"/>
        <v>749.13267000000008</v>
      </c>
      <c r="Z109" s="3">
        <v>156.13</v>
      </c>
      <c r="AA109" s="2" cm="1">
        <f t="array" ref="AA109">SUM($F$2:$F$59*($C$2:$C$59=$Q$3))</f>
        <v>5.8720999999999997</v>
      </c>
      <c r="AB109" s="3">
        <f t="shared" si="7"/>
        <v>916.81097299999988</v>
      </c>
      <c r="AC109" s="3">
        <v>17.12</v>
      </c>
      <c r="AD109" s="2" cm="1">
        <f t="array" ref="AD109">SUM($F$2:$F$59*($C$2:$C$59=$Q$4))</f>
        <v>21.983000000000001</v>
      </c>
      <c r="AE109" s="3">
        <f t="shared" si="8"/>
        <v>376.34896000000003</v>
      </c>
      <c r="AF109" s="3">
        <v>15.61</v>
      </c>
      <c r="AG109" s="2" cm="1">
        <f t="array" ref="AG109">SUM($F$2:$F$59*($C$2:$C$59=$Q$5))</f>
        <v>43.772999999999996</v>
      </c>
      <c r="AH109" s="3">
        <f t="shared" si="9"/>
        <v>683.29652999999996</v>
      </c>
      <c r="AI109" s="3">
        <v>20.37</v>
      </c>
      <c r="AJ109" s="2" cm="1">
        <f t="array" ref="AJ109">SUM($F$2:$F$59*($C$2:$C$59=$Q$6))</f>
        <v>0</v>
      </c>
      <c r="AK109" s="3">
        <f t="shared" si="10"/>
        <v>0</v>
      </c>
      <c r="AL109" s="3">
        <v>16.989999999999998</v>
      </c>
      <c r="AM109" s="2" cm="1">
        <f t="array" ref="AM109">SUM($F$2:$F$59*($C$2:$C$59=$Q$8))</f>
        <v>0</v>
      </c>
      <c r="AN109" s="3">
        <f t="shared" si="11"/>
        <v>0</v>
      </c>
      <c r="AO109" s="3">
        <f>SUM(J2:J59)</f>
        <v>1376.3100000000004</v>
      </c>
      <c r="AP1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4101.8991330000008</v>
      </c>
      <c r="AQ109" s="3" cm="1">
        <f t="array" aca="1" ref="AQ109" ca="1">OFFSET(Table7[[#This Row],[Investment Increase]],0,-1)-SUM($J$2:$J$59*($E$2:$E$59=$Q$31))</f>
        <v>662.8991330000008</v>
      </c>
    </row>
    <row r="110" spans="22:43" x14ac:dyDescent="0.45">
      <c r="V110" s="9">
        <v>44588</v>
      </c>
      <c r="W110" s="3">
        <v>168.02</v>
      </c>
      <c r="X110" s="2" cm="1">
        <f t="array" ref="X110">SUM($F$2:$F$59*($C$2:$C$59=$Q$2))</f>
        <v>4.3230000000000004</v>
      </c>
      <c r="Y110" s="3">
        <f t="shared" si="6"/>
        <v>726.35046000000011</v>
      </c>
      <c r="Z110" s="3">
        <v>151.13999999999999</v>
      </c>
      <c r="AA110" s="2" cm="1">
        <f t="array" ref="AA110">SUM($F$2:$F$59*($C$2:$C$59=$Q$3))</f>
        <v>5.8720999999999997</v>
      </c>
      <c r="AB110" s="3">
        <f t="shared" si="7"/>
        <v>887.50919399999987</v>
      </c>
      <c r="AC110" s="3">
        <v>16.57</v>
      </c>
      <c r="AD110" s="2" cm="1">
        <f t="array" ref="AD110">SUM($F$2:$F$59*($C$2:$C$59=$Q$4))</f>
        <v>21.983000000000001</v>
      </c>
      <c r="AE110" s="3">
        <f t="shared" si="8"/>
        <v>364.25830999999999</v>
      </c>
      <c r="AF110" s="3">
        <v>15.22</v>
      </c>
      <c r="AG110" s="2" cm="1">
        <f t="array" ref="AG110">SUM($F$2:$F$59*($C$2:$C$59=$Q$5))</f>
        <v>43.772999999999996</v>
      </c>
      <c r="AH110" s="3">
        <f t="shared" si="9"/>
        <v>666.22505999999998</v>
      </c>
      <c r="AI110" s="3">
        <v>19.87</v>
      </c>
      <c r="AJ110" s="2" cm="1">
        <f t="array" ref="AJ110">SUM($F$2:$F$59*($C$2:$C$59=$Q$6))</f>
        <v>0</v>
      </c>
      <c r="AK110" s="3">
        <f t="shared" si="10"/>
        <v>0</v>
      </c>
      <c r="AL110" s="3">
        <v>17.02</v>
      </c>
      <c r="AM110" s="2" cm="1">
        <f t="array" ref="AM110">SUM($F$2:$F$59*($C$2:$C$59=$Q$8))</f>
        <v>0</v>
      </c>
      <c r="AN110" s="3">
        <f t="shared" si="11"/>
        <v>0</v>
      </c>
      <c r="AO110" s="3">
        <f>SUM(J2:J59)</f>
        <v>1376.3100000000004</v>
      </c>
      <c r="AP1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4020.6530240000002</v>
      </c>
      <c r="AQ110" s="3" cm="1">
        <f t="array" aca="1" ref="AQ110" ca="1">OFFSET(Table7[[#This Row],[Investment Increase]],0,-1)-SUM($J$2:$J$59*($E$2:$E$59=$Q$31))</f>
        <v>581.65302400000019</v>
      </c>
    </row>
    <row r="111" spans="22:43" x14ac:dyDescent="0.45">
      <c r="V111" s="9">
        <v>44587</v>
      </c>
      <c r="W111" s="3">
        <v>170.4</v>
      </c>
      <c r="X111" s="2" cm="1">
        <f t="array" ref="X111">SUM($F$2:$F$59*($C$2:$C$59=$Q$2))</f>
        <v>4.3230000000000004</v>
      </c>
      <c r="Y111" s="3">
        <f t="shared" si="6"/>
        <v>736.63920000000007</v>
      </c>
      <c r="Z111" s="3">
        <v>153.57</v>
      </c>
      <c r="AA111" s="2" cm="1">
        <f t="array" ref="AA111">SUM($F$2:$F$59*($C$2:$C$59=$Q$3))</f>
        <v>5.8720999999999997</v>
      </c>
      <c r="AB111" s="3">
        <f t="shared" si="7"/>
        <v>901.77839699999993</v>
      </c>
      <c r="AC111" s="3">
        <v>16.690000000000001</v>
      </c>
      <c r="AD111" s="2" cm="1">
        <f t="array" ref="AD111">SUM($F$2:$F$59*($C$2:$C$59=$Q$4))</f>
        <v>21.983000000000001</v>
      </c>
      <c r="AE111" s="3">
        <f t="shared" si="8"/>
        <v>366.89627000000002</v>
      </c>
      <c r="AF111" s="3">
        <v>15.31</v>
      </c>
      <c r="AG111" s="2" cm="1">
        <f t="array" ref="AG111">SUM($F$2:$F$59*($C$2:$C$59=$Q$5))</f>
        <v>43.772999999999996</v>
      </c>
      <c r="AH111" s="3">
        <f t="shared" si="9"/>
        <v>670.16462999999999</v>
      </c>
      <c r="AI111" s="3">
        <v>19.98</v>
      </c>
      <c r="AJ111" s="2" cm="1">
        <f t="array" ref="AJ111">SUM($F$2:$F$59*($C$2:$C$59=$Q$6))</f>
        <v>0</v>
      </c>
      <c r="AK111" s="3">
        <f t="shared" si="10"/>
        <v>0</v>
      </c>
      <c r="AL111" s="3">
        <v>16.989999999999998</v>
      </c>
      <c r="AM111" s="2" cm="1">
        <f t="array" ref="AM111">SUM($F$2:$F$59*($C$2:$C$59=$Q$8))</f>
        <v>0</v>
      </c>
      <c r="AN111" s="3">
        <f t="shared" si="11"/>
        <v>0</v>
      </c>
      <c r="AO111" s="3">
        <f>SUM(J2:J59)</f>
        <v>1376.3100000000004</v>
      </c>
      <c r="AP1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4051.7884970000005</v>
      </c>
      <c r="AQ111" s="3" cm="1">
        <f t="array" aca="1" ref="AQ111" ca="1">OFFSET(Table7[[#This Row],[Investment Increase]],0,-1)-SUM($J$2:$J$59*($E$2:$E$59=$Q$31))</f>
        <v>612.78849700000046</v>
      </c>
    </row>
    <row r="112" spans="22:43" x14ac:dyDescent="0.45">
      <c r="V112" s="9">
        <v>44586</v>
      </c>
      <c r="W112" s="3">
        <v>170.37</v>
      </c>
      <c r="X112" s="2" cm="1">
        <f t="array" ref="X112">SUM($F$2:$F$59*($C$2:$C$59=$Q$2))</f>
        <v>4.3230000000000004</v>
      </c>
      <c r="Y112" s="3">
        <f t="shared" si="6"/>
        <v>736.50951000000009</v>
      </c>
      <c r="Z112" s="3">
        <v>153.94</v>
      </c>
      <c r="AA112" s="2" cm="1">
        <f t="array" ref="AA112">SUM($F$2:$F$59*($C$2:$C$59=$Q$3))</f>
        <v>5.8720999999999997</v>
      </c>
      <c r="AB112" s="3">
        <f t="shared" si="7"/>
        <v>903.95107399999995</v>
      </c>
      <c r="AC112" s="3">
        <v>16.71</v>
      </c>
      <c r="AD112" s="2" cm="1">
        <f t="array" ref="AD112">SUM($F$2:$F$59*($C$2:$C$59=$Q$4))</f>
        <v>21.983000000000001</v>
      </c>
      <c r="AE112" s="3">
        <f t="shared" si="8"/>
        <v>367.33593000000002</v>
      </c>
      <c r="AF112" s="3">
        <v>15.33</v>
      </c>
      <c r="AG112" s="2" cm="1">
        <f t="array" ref="AG112">SUM($F$2:$F$59*($C$2:$C$59=$Q$5))</f>
        <v>43.772999999999996</v>
      </c>
      <c r="AH112" s="3">
        <f t="shared" si="9"/>
        <v>671.04008999999996</v>
      </c>
      <c r="AI112" s="3">
        <v>20.010000000000002</v>
      </c>
      <c r="AJ112" s="2" cm="1">
        <f t="array" ref="AJ112">SUM($F$2:$F$59*($C$2:$C$59=$Q$6))</f>
        <v>0</v>
      </c>
      <c r="AK112" s="3">
        <f t="shared" si="10"/>
        <v>0</v>
      </c>
      <c r="AL112" s="3">
        <v>17.02</v>
      </c>
      <c r="AM112" s="2" cm="1">
        <f t="array" ref="AM112">SUM($F$2:$F$59*($C$2:$C$59=$Q$8))</f>
        <v>0</v>
      </c>
      <c r="AN112" s="3">
        <f t="shared" si="11"/>
        <v>0</v>
      </c>
      <c r="AO112" s="3">
        <f>SUM(J2:J59)</f>
        <v>1376.3100000000004</v>
      </c>
      <c r="AP1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4055.1466040000005</v>
      </c>
      <c r="AQ112" s="3" cm="1">
        <f t="array" aca="1" ref="AQ112" ca="1">OFFSET(Table7[[#This Row],[Investment Increase]],0,-1)-SUM($J$2:$J$59*($E$2:$E$59=$Q$31))</f>
        <v>616.14660400000048</v>
      </c>
    </row>
    <row r="113" spans="22:43" x14ac:dyDescent="0.45">
      <c r="V113" s="9">
        <v>44585</v>
      </c>
      <c r="W113" s="3">
        <v>174.35</v>
      </c>
      <c r="X113" s="2" cm="1">
        <f t="array" ref="X113">SUM($F$2:$F$59*($C$2:$C$59=$Q$2))</f>
        <v>4.3230000000000004</v>
      </c>
      <c r="Y113" s="3">
        <f t="shared" si="6"/>
        <v>753.71505000000002</v>
      </c>
      <c r="Z113" s="3">
        <v>157.99</v>
      </c>
      <c r="AA113" s="2" cm="1">
        <f t="array" ref="AA113">SUM($F$2:$F$59*($C$2:$C$59=$Q$3))</f>
        <v>5.8720999999999997</v>
      </c>
      <c r="AB113" s="3">
        <f t="shared" si="7"/>
        <v>927.73307899999998</v>
      </c>
      <c r="AC113" s="3">
        <v>17.18</v>
      </c>
      <c r="AD113" s="2" cm="1">
        <f t="array" ref="AD113">SUM($F$2:$F$59*($C$2:$C$59=$Q$4))</f>
        <v>21.983000000000001</v>
      </c>
      <c r="AE113" s="3">
        <f t="shared" si="8"/>
        <v>377.66793999999999</v>
      </c>
      <c r="AF113" s="3">
        <v>15.54</v>
      </c>
      <c r="AG113" s="2" cm="1">
        <f t="array" ref="AG113">SUM($F$2:$F$59*($C$2:$C$59=$Q$5))</f>
        <v>43.772999999999996</v>
      </c>
      <c r="AH113" s="3">
        <f t="shared" si="9"/>
        <v>680.23241999999993</v>
      </c>
      <c r="AI113" s="3">
        <v>20.22</v>
      </c>
      <c r="AJ113" s="2" cm="1">
        <f t="array" ref="AJ113">SUM($F$2:$F$59*($C$2:$C$59=$Q$6))</f>
        <v>0</v>
      </c>
      <c r="AK113" s="3">
        <f t="shared" si="10"/>
        <v>0</v>
      </c>
      <c r="AL113" s="3">
        <v>16.77</v>
      </c>
      <c r="AM113" s="2" cm="1">
        <f t="array" ref="AM113">SUM($F$2:$F$59*($C$2:$C$59=$Q$8))</f>
        <v>0</v>
      </c>
      <c r="AN113" s="3">
        <f t="shared" si="11"/>
        <v>0</v>
      </c>
      <c r="AO113" s="3">
        <f>SUM(J2:J59)</f>
        <v>1376.3100000000004</v>
      </c>
      <c r="AP1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4115.6584889999995</v>
      </c>
      <c r="AQ113" s="3" cm="1">
        <f t="array" aca="1" ref="AQ113" ca="1">OFFSET(Table7[[#This Row],[Investment Increase]],0,-1)-SUM($J$2:$J$59*($E$2:$E$59=$Q$31))</f>
        <v>676.65848899999946</v>
      </c>
    </row>
    <row r="114" spans="22:43" x14ac:dyDescent="0.45">
      <c r="V114" s="9">
        <v>44582</v>
      </c>
      <c r="W114" s="3">
        <v>173.26</v>
      </c>
      <c r="X114" s="2" cm="1">
        <f t="array" ref="X114">SUM($F$2:$F$59*($C$2:$C$59=$Q$2))</f>
        <v>4.3230000000000004</v>
      </c>
      <c r="Y114" s="3">
        <f t="shared" si="6"/>
        <v>749.00297999999998</v>
      </c>
      <c r="Z114" s="3">
        <v>156.63999999999999</v>
      </c>
      <c r="AA114" s="2" cm="1">
        <f t="array" ref="AA114">SUM($F$2:$F$59*($C$2:$C$59=$Q$3))</f>
        <v>5.8720999999999997</v>
      </c>
      <c r="AB114" s="3">
        <f t="shared" si="7"/>
        <v>919.80574399999989</v>
      </c>
      <c r="AC114" s="3">
        <v>17.100000000000001</v>
      </c>
      <c r="AD114" s="2" cm="1">
        <f t="array" ref="AD114">SUM($F$2:$F$59*($C$2:$C$59=$Q$4))</f>
        <v>21.983000000000001</v>
      </c>
      <c r="AE114" s="3">
        <f t="shared" si="8"/>
        <v>375.90930000000003</v>
      </c>
      <c r="AF114" s="3">
        <v>15.49</v>
      </c>
      <c r="AG114" s="2" cm="1">
        <f t="array" ref="AG114">SUM($F$2:$F$59*($C$2:$C$59=$Q$5))</f>
        <v>43.772999999999996</v>
      </c>
      <c r="AH114" s="3">
        <f t="shared" si="9"/>
        <v>678.04376999999999</v>
      </c>
      <c r="AI114" s="3">
        <v>20.12</v>
      </c>
      <c r="AJ114" s="2" cm="1">
        <f t="array" ref="AJ114">SUM($F$2:$F$59*($C$2:$C$59=$Q$6))</f>
        <v>0</v>
      </c>
      <c r="AK114" s="3">
        <f t="shared" si="10"/>
        <v>0</v>
      </c>
      <c r="AL114" s="3">
        <v>16.86</v>
      </c>
      <c r="AM114" s="2" cm="1">
        <f t="array" ref="AM114">SUM($F$2:$F$59*($C$2:$C$59=$Q$8))</f>
        <v>0</v>
      </c>
      <c r="AN114" s="3">
        <f t="shared" si="11"/>
        <v>0</v>
      </c>
      <c r="AO114" s="3">
        <f>SUM(J2:J59)</f>
        <v>1376.3100000000004</v>
      </c>
      <c r="AP1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4099.0717940000004</v>
      </c>
      <c r="AQ114" s="3" cm="1">
        <f t="array" aca="1" ref="AQ114" ca="1">OFFSET(Table7[[#This Row],[Investment Increase]],0,-1)-SUM($J$2:$J$59*($E$2:$E$59=$Q$31))</f>
        <v>660.07179400000041</v>
      </c>
    </row>
    <row r="115" spans="22:43" x14ac:dyDescent="0.45">
      <c r="V115" s="9">
        <v>44581</v>
      </c>
      <c r="W115" s="3">
        <v>178.1</v>
      </c>
      <c r="X115" s="2" cm="1">
        <f t="array" ref="X115">SUM($F$2:$F$59*($C$2:$C$59=$Q$2))</f>
        <v>4.3230000000000004</v>
      </c>
      <c r="Y115" s="3">
        <f t="shared" si="6"/>
        <v>769.92630000000008</v>
      </c>
      <c r="Z115" s="3">
        <v>161.66999999999999</v>
      </c>
      <c r="AA115" s="2" cm="1">
        <f t="array" ref="AA115">SUM($F$2:$F$59*($C$2:$C$59=$Q$3))</f>
        <v>5.8720999999999997</v>
      </c>
      <c r="AB115" s="3">
        <f t="shared" si="7"/>
        <v>949.34240699999987</v>
      </c>
      <c r="AC115" s="3">
        <v>17.670000000000002</v>
      </c>
      <c r="AD115" s="2" cm="1">
        <f t="array" ref="AD115">SUM($F$2:$F$59*($C$2:$C$59=$Q$4))</f>
        <v>21.983000000000001</v>
      </c>
      <c r="AE115" s="3">
        <f t="shared" si="8"/>
        <v>388.43961000000007</v>
      </c>
      <c r="AF115" s="3">
        <v>15.8</v>
      </c>
      <c r="AG115" s="2" cm="1">
        <f t="array" ref="AG115">SUM($F$2:$F$59*($C$2:$C$59=$Q$5))</f>
        <v>43.772999999999996</v>
      </c>
      <c r="AH115" s="3">
        <f t="shared" si="9"/>
        <v>691.61339999999996</v>
      </c>
      <c r="AI115" s="3">
        <v>20.48</v>
      </c>
      <c r="AJ115" s="2" cm="1">
        <f t="array" ref="AJ115">SUM($F$2:$F$59*($C$2:$C$59=$Q$6))</f>
        <v>0</v>
      </c>
      <c r="AK115" s="3">
        <f t="shared" si="10"/>
        <v>0</v>
      </c>
      <c r="AL115" s="3">
        <v>17.28</v>
      </c>
      <c r="AM115" s="2" cm="1">
        <f t="array" ref="AM115">SUM($F$2:$F$59*($C$2:$C$59=$Q$8))</f>
        <v>0</v>
      </c>
      <c r="AN115" s="3">
        <f t="shared" si="11"/>
        <v>0</v>
      </c>
      <c r="AO115" s="3">
        <f>SUM(J2:J59)</f>
        <v>1376.3100000000004</v>
      </c>
      <c r="AP1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4175.6317170000002</v>
      </c>
      <c r="AQ115" s="3" cm="1">
        <f t="array" aca="1" ref="AQ115" ca="1">OFFSET(Table7[[#This Row],[Investment Increase]],0,-1)-SUM($J$2:$J$59*($E$2:$E$59=$Q$31))</f>
        <v>736.63171700000021</v>
      </c>
    </row>
    <row r="116" spans="22:43" x14ac:dyDescent="0.45">
      <c r="V116" s="9">
        <v>44580</v>
      </c>
      <c r="W116" s="3">
        <v>180.44</v>
      </c>
      <c r="X116" s="2" cm="1">
        <f t="array" ref="X116">SUM($F$2:$F$59*($C$2:$C$59=$Q$2))</f>
        <v>4.3230000000000004</v>
      </c>
      <c r="Y116" s="3">
        <f t="shared" si="6"/>
        <v>780.04212000000007</v>
      </c>
      <c r="Z116" s="3">
        <v>164.2</v>
      </c>
      <c r="AA116" s="2" cm="1">
        <f t="array" ref="AA116">SUM($F$2:$F$59*($C$2:$C$59=$Q$3))</f>
        <v>5.8720999999999997</v>
      </c>
      <c r="AB116" s="3">
        <f t="shared" si="7"/>
        <v>964.19881999999984</v>
      </c>
      <c r="AC116" s="3">
        <v>17.87</v>
      </c>
      <c r="AD116" s="2" cm="1">
        <f t="array" ref="AD116">SUM($F$2:$F$59*($C$2:$C$59=$Q$4))</f>
        <v>21.983000000000001</v>
      </c>
      <c r="AE116" s="3">
        <f t="shared" si="8"/>
        <v>392.83621000000005</v>
      </c>
      <c r="AF116" s="3">
        <v>15.97</v>
      </c>
      <c r="AG116" s="2" cm="1">
        <f t="array" ref="AG116">SUM($F$2:$F$59*($C$2:$C$59=$Q$5))</f>
        <v>43.772999999999996</v>
      </c>
      <c r="AH116" s="3">
        <f t="shared" si="9"/>
        <v>699.05480999999997</v>
      </c>
      <c r="AI116" s="3">
        <v>20.72</v>
      </c>
      <c r="AJ116" s="2" cm="1">
        <f t="array" ref="AJ116">SUM($F$2:$F$59*($C$2:$C$59=$Q$6))</f>
        <v>0</v>
      </c>
      <c r="AK116" s="3">
        <f t="shared" si="10"/>
        <v>0</v>
      </c>
      <c r="AL116" s="3">
        <v>17.59</v>
      </c>
      <c r="AM116" s="2" cm="1">
        <f t="array" ref="AM116">SUM($F$2:$F$59*($C$2:$C$59=$Q$8))</f>
        <v>0</v>
      </c>
      <c r="AN116" s="3">
        <f t="shared" si="11"/>
        <v>0</v>
      </c>
      <c r="AO116" s="3">
        <f>SUM(J2:J59)</f>
        <v>1376.3100000000004</v>
      </c>
      <c r="AP1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4212.4419600000001</v>
      </c>
      <c r="AQ116" s="3" cm="1">
        <f t="array" aca="1" ref="AQ116" ca="1">OFFSET(Table7[[#This Row],[Investment Increase]],0,-1)-SUM($J$2:$J$59*($E$2:$E$59=$Q$31))</f>
        <v>773.44196000000011</v>
      </c>
    </row>
    <row r="117" spans="22:43" x14ac:dyDescent="0.45">
      <c r="V117" s="9">
        <v>44579</v>
      </c>
      <c r="W117" s="3">
        <v>182.53</v>
      </c>
      <c r="X117" s="2" cm="1">
        <f t="array" ref="X117">SUM($F$2:$F$59*($C$2:$C$59=$Q$2))</f>
        <v>4.3230000000000004</v>
      </c>
      <c r="Y117" s="3">
        <f t="shared" si="6"/>
        <v>789.07719000000009</v>
      </c>
      <c r="Z117" s="3">
        <v>166.35</v>
      </c>
      <c r="AA117" s="2" cm="1">
        <f t="array" ref="AA117">SUM($F$2:$F$59*($C$2:$C$59=$Q$3))</f>
        <v>5.8720999999999997</v>
      </c>
      <c r="AB117" s="3">
        <f t="shared" si="7"/>
        <v>976.82383499999992</v>
      </c>
      <c r="AC117" s="3">
        <v>18.010000000000002</v>
      </c>
      <c r="AD117" s="2" cm="1">
        <f t="array" ref="AD117">SUM($F$2:$F$59*($C$2:$C$59=$Q$4))</f>
        <v>21.983000000000001</v>
      </c>
      <c r="AE117" s="3">
        <f t="shared" si="8"/>
        <v>395.91383000000002</v>
      </c>
      <c r="AF117" s="3">
        <v>16.13</v>
      </c>
      <c r="AG117" s="2" cm="1">
        <f t="array" ref="AG117">SUM($F$2:$F$59*($C$2:$C$59=$Q$5))</f>
        <v>43.772999999999996</v>
      </c>
      <c r="AH117" s="3">
        <f t="shared" si="9"/>
        <v>706.05848999999989</v>
      </c>
      <c r="AI117" s="3">
        <v>20.92</v>
      </c>
      <c r="AJ117" s="2" cm="1">
        <f t="array" ref="AJ117">SUM($F$2:$F$59*($C$2:$C$59=$Q$6))</f>
        <v>0</v>
      </c>
      <c r="AK117" s="3">
        <f t="shared" si="10"/>
        <v>0</v>
      </c>
      <c r="AL117" s="3">
        <v>17.489999999999998</v>
      </c>
      <c r="AM117" s="2" cm="1">
        <f t="array" ref="AM117">SUM($F$2:$F$59*($C$2:$C$59=$Q$8))</f>
        <v>0</v>
      </c>
      <c r="AN117" s="3">
        <f t="shared" si="11"/>
        <v>0</v>
      </c>
      <c r="AO117" s="3">
        <f>SUM(J2:J59)</f>
        <v>1376.3100000000004</v>
      </c>
      <c r="AP1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4244.1833450000004</v>
      </c>
      <c r="AQ117" s="3" cm="1">
        <f t="array" aca="1" ref="AQ117" ca="1">OFFSET(Table7[[#This Row],[Investment Increase]],0,-1)-SUM($J$2:$J$59*($E$2:$E$59=$Q$31))</f>
        <v>805.18334500000037</v>
      </c>
    </row>
    <row r="118" spans="22:43" x14ac:dyDescent="0.45">
      <c r="V118" s="9">
        <v>44575</v>
      </c>
      <c r="W118" s="3">
        <v>187.4</v>
      </c>
      <c r="X118" s="2" cm="1">
        <f t="array" ref="X118">SUM($F$2:$F$59*($C$2:$C$59=$Q$2))</f>
        <v>4.3230000000000004</v>
      </c>
      <c r="Y118" s="3">
        <f t="shared" si="6"/>
        <v>810.13020000000006</v>
      </c>
      <c r="Z118" s="3">
        <v>171.29</v>
      </c>
      <c r="AA118" s="2" cm="1">
        <f t="array" ref="AA118">SUM($F$2:$F$59*($C$2:$C$59=$Q$3))</f>
        <v>5.8720999999999997</v>
      </c>
      <c r="AB118" s="3">
        <f t="shared" si="7"/>
        <v>1005.8320089999999</v>
      </c>
      <c r="AC118" s="3">
        <v>18.48</v>
      </c>
      <c r="AD118" s="2" cm="1">
        <f t="array" ref="AD118">SUM($F$2:$F$59*($C$2:$C$59=$Q$4))</f>
        <v>21.983000000000001</v>
      </c>
      <c r="AE118" s="3">
        <f t="shared" si="8"/>
        <v>406.24584000000004</v>
      </c>
      <c r="AF118" s="3">
        <v>16.440000000000001</v>
      </c>
      <c r="AG118" s="2" cm="1">
        <f t="array" ref="AG118">SUM($F$2:$F$59*($C$2:$C$59=$Q$5))</f>
        <v>43.772999999999996</v>
      </c>
      <c r="AH118" s="3">
        <f t="shared" si="9"/>
        <v>719.62811999999997</v>
      </c>
      <c r="AI118" s="3">
        <v>21.29</v>
      </c>
      <c r="AJ118" s="2" cm="1">
        <f t="array" ref="AJ118">SUM($F$2:$F$59*($C$2:$C$59=$Q$6))</f>
        <v>0</v>
      </c>
      <c r="AK118" s="3">
        <f t="shared" si="10"/>
        <v>0</v>
      </c>
      <c r="AL118" s="3">
        <v>17.52</v>
      </c>
      <c r="AM118" s="2" cm="1">
        <f t="array" ref="AM118">SUM($F$2:$F$59*($C$2:$C$59=$Q$8))</f>
        <v>0</v>
      </c>
      <c r="AN118" s="3">
        <f t="shared" si="11"/>
        <v>0</v>
      </c>
      <c r="AO118" s="3">
        <f>SUM(J2:J59)</f>
        <v>1376.3100000000004</v>
      </c>
      <c r="AP1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4318.1461689999996</v>
      </c>
      <c r="AQ118" s="3" cm="1">
        <f t="array" aca="1" ref="AQ118" ca="1">OFFSET(Table7[[#This Row],[Investment Increase]],0,-1)-SUM($J$2:$J$59*($E$2:$E$59=$Q$31))</f>
        <v>879.14616899999965</v>
      </c>
    </row>
    <row r="119" spans="22:43" x14ac:dyDescent="0.45">
      <c r="V119" s="9">
        <v>44574</v>
      </c>
      <c r="W119" s="3">
        <v>186.3</v>
      </c>
      <c r="X119" s="2" cm="1">
        <f t="array" ref="X119">SUM($F$2:$F$59*($C$2:$C$59=$Q$2))</f>
        <v>4.3230000000000004</v>
      </c>
      <c r="Y119" s="3">
        <f t="shared" si="6"/>
        <v>805.37490000000014</v>
      </c>
      <c r="Z119" s="3">
        <v>171.01</v>
      </c>
      <c r="AA119" s="2" cm="1">
        <f t="array" ref="AA119">SUM($F$2:$F$59*($C$2:$C$59=$Q$3))</f>
        <v>5.8720999999999997</v>
      </c>
      <c r="AB119" s="3">
        <f t="shared" si="7"/>
        <v>1004.1878209999999</v>
      </c>
      <c r="AC119" s="3">
        <v>18.37</v>
      </c>
      <c r="AD119" s="2" cm="1">
        <f t="array" ref="AD119">SUM($F$2:$F$59*($C$2:$C$59=$Q$4))</f>
        <v>21.983000000000001</v>
      </c>
      <c r="AE119" s="3">
        <f t="shared" si="8"/>
        <v>403.82771000000002</v>
      </c>
      <c r="AF119" s="3">
        <v>16.43</v>
      </c>
      <c r="AG119" s="2" cm="1">
        <f t="array" ref="AG119">SUM($F$2:$F$59*($C$2:$C$59=$Q$5))</f>
        <v>43.772999999999996</v>
      </c>
      <c r="AH119" s="3">
        <f t="shared" si="9"/>
        <v>719.19038999999998</v>
      </c>
      <c r="AI119" s="3">
        <v>21.25</v>
      </c>
      <c r="AJ119" s="2" cm="1">
        <f t="array" ref="AJ119">SUM($F$2:$F$59*($C$2:$C$59=$Q$6))</f>
        <v>0</v>
      </c>
      <c r="AK119" s="3">
        <f t="shared" si="10"/>
        <v>0</v>
      </c>
      <c r="AL119" s="3">
        <v>17.38</v>
      </c>
      <c r="AM119" s="2" cm="1">
        <f t="array" ref="AM119">SUM($F$2:$F$59*($C$2:$C$59=$Q$8))</f>
        <v>0</v>
      </c>
      <c r="AN119" s="3">
        <f t="shared" si="11"/>
        <v>0</v>
      </c>
      <c r="AO119" s="3">
        <f>SUM(J2:J59)</f>
        <v>1376.3100000000004</v>
      </c>
      <c r="AP1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4308.890821</v>
      </c>
      <c r="AQ119" s="3" cm="1">
        <f t="array" aca="1" ref="AQ119" ca="1">OFFSET(Table7[[#This Row],[Investment Increase]],0,-1)-SUM($J$2:$J$59*($E$2:$E$59=$Q$31))</f>
        <v>869.89082099999996</v>
      </c>
    </row>
    <row r="120" spans="22:43" x14ac:dyDescent="0.45">
      <c r="V120" s="9">
        <v>44573</v>
      </c>
      <c r="W120" s="3">
        <v>191.09</v>
      </c>
      <c r="X120" s="2" cm="1">
        <f t="array" ref="X120">SUM($F$2:$F$59*($C$2:$C$59=$Q$2))</f>
        <v>4.3230000000000004</v>
      </c>
      <c r="Y120" s="3">
        <f t="shared" si="6"/>
        <v>826.08207000000004</v>
      </c>
      <c r="Z120" s="3">
        <v>176.43</v>
      </c>
      <c r="AA120" s="2" cm="1">
        <f t="array" ref="AA120">SUM($F$2:$F$59*($C$2:$C$59=$Q$3))</f>
        <v>5.8720999999999997</v>
      </c>
      <c r="AB120" s="3">
        <f t="shared" si="7"/>
        <v>1036.0146030000001</v>
      </c>
      <c r="AC120" s="3">
        <v>18.93</v>
      </c>
      <c r="AD120" s="2" cm="1">
        <f t="array" ref="AD120">SUM($F$2:$F$59*($C$2:$C$59=$Q$4))</f>
        <v>21.983000000000001</v>
      </c>
      <c r="AE120" s="3">
        <f t="shared" si="8"/>
        <v>416.13819000000001</v>
      </c>
      <c r="AF120" s="3">
        <v>16.690000000000001</v>
      </c>
      <c r="AG120" s="2" cm="1">
        <f t="array" ref="AG120">SUM($F$2:$F$59*($C$2:$C$59=$Q$5))</f>
        <v>43.772999999999996</v>
      </c>
      <c r="AH120" s="3">
        <f t="shared" si="9"/>
        <v>730.57137</v>
      </c>
      <c r="AI120" s="3">
        <v>21.53</v>
      </c>
      <c r="AJ120" s="2" cm="1">
        <f t="array" ref="AJ120">SUM($F$2:$F$59*($C$2:$C$59=$Q$6))</f>
        <v>0</v>
      </c>
      <c r="AK120" s="3">
        <f t="shared" si="10"/>
        <v>0</v>
      </c>
      <c r="AL120" s="3">
        <v>17.52</v>
      </c>
      <c r="AM120" s="2" cm="1">
        <f t="array" ref="AM120">SUM($F$2:$F$59*($C$2:$C$59=$Q$8))</f>
        <v>0</v>
      </c>
      <c r="AN120" s="3">
        <f t="shared" si="11"/>
        <v>0</v>
      </c>
      <c r="AO120" s="3">
        <f>SUM(J2:J59)</f>
        <v>1376.3100000000004</v>
      </c>
      <c r="AP1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4385.1162330000006</v>
      </c>
      <c r="AQ120" s="3" cm="1">
        <f t="array" aca="1" ref="AQ120" ca="1">OFFSET(Table7[[#This Row],[Investment Increase]],0,-1)-SUM($J$2:$J$59*($E$2:$E$59=$Q$31))</f>
        <v>946.11623300000065</v>
      </c>
    </row>
    <row r="121" spans="22:43" x14ac:dyDescent="0.45">
      <c r="V121" s="9">
        <v>44572</v>
      </c>
      <c r="W121" s="3">
        <v>190.65</v>
      </c>
      <c r="X121" s="2" cm="1">
        <f t="array" ref="X121">SUM($F$2:$F$59*($C$2:$C$59=$Q$2))</f>
        <v>4.3230000000000004</v>
      </c>
      <c r="Y121" s="3">
        <f t="shared" si="6"/>
        <v>824.17995000000008</v>
      </c>
      <c r="Z121" s="3">
        <v>176.25</v>
      </c>
      <c r="AA121" s="2" cm="1">
        <f t="array" ref="AA121">SUM($F$2:$F$59*($C$2:$C$59=$Q$3))</f>
        <v>5.8720999999999997</v>
      </c>
      <c r="AB121" s="3">
        <f t="shared" si="7"/>
        <v>1034.957625</v>
      </c>
      <c r="AC121" s="3">
        <v>18.87</v>
      </c>
      <c r="AD121" s="2" cm="1">
        <f t="array" ref="AD121">SUM($F$2:$F$59*($C$2:$C$59=$Q$4))</f>
        <v>21.983000000000001</v>
      </c>
      <c r="AE121" s="3">
        <f t="shared" si="8"/>
        <v>414.81921000000006</v>
      </c>
      <c r="AF121" s="3">
        <v>16.649999999999999</v>
      </c>
      <c r="AG121" s="2" cm="1">
        <f t="array" ref="AG121">SUM($F$2:$F$59*($C$2:$C$59=$Q$5))</f>
        <v>43.772999999999996</v>
      </c>
      <c r="AH121" s="3">
        <f t="shared" si="9"/>
        <v>728.82044999999982</v>
      </c>
      <c r="AI121" s="3">
        <v>21.5</v>
      </c>
      <c r="AJ121" s="2" cm="1">
        <f t="array" ref="AJ121">SUM($F$2:$F$59*($C$2:$C$59=$Q$6))</f>
        <v>0</v>
      </c>
      <c r="AK121" s="3">
        <f t="shared" si="10"/>
        <v>0</v>
      </c>
      <c r="AL121" s="3">
        <v>17.14</v>
      </c>
      <c r="AM121" s="2" cm="1">
        <f t="array" ref="AM121">SUM($F$2:$F$59*($C$2:$C$59=$Q$8))</f>
        <v>0</v>
      </c>
      <c r="AN121" s="3">
        <f t="shared" si="11"/>
        <v>0</v>
      </c>
      <c r="AO121" s="3">
        <f>SUM(J2:J59)</f>
        <v>1376.3100000000004</v>
      </c>
      <c r="AP1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4379.0872350000009</v>
      </c>
      <c r="AQ121" s="3" cm="1">
        <f t="array" aca="1" ref="AQ121" ca="1">OFFSET(Table7[[#This Row],[Investment Increase]],0,-1)-SUM($J$2:$J$59*($E$2:$E$59=$Q$31))</f>
        <v>940.08723500000087</v>
      </c>
    </row>
    <row r="122" spans="22:43" x14ac:dyDescent="0.45">
      <c r="V122" s="9">
        <v>44571</v>
      </c>
      <c r="W122" s="3">
        <v>188.01</v>
      </c>
      <c r="X122" s="2" cm="1">
        <f t="array" ref="X122">SUM($F$2:$F$59*($C$2:$C$59=$Q$2))</f>
        <v>4.3230000000000004</v>
      </c>
      <c r="Y122" s="3">
        <f t="shared" si="6"/>
        <v>812.76723000000004</v>
      </c>
      <c r="Z122" s="3">
        <v>173.14</v>
      </c>
      <c r="AA122" s="2" cm="1">
        <f t="array" ref="AA122">SUM($F$2:$F$59*($C$2:$C$59=$Q$3))</f>
        <v>5.8720999999999997</v>
      </c>
      <c r="AB122" s="3">
        <f t="shared" si="7"/>
        <v>1016.6953939999999</v>
      </c>
      <c r="AC122" s="3">
        <v>18.59</v>
      </c>
      <c r="AD122" s="2" cm="1">
        <f t="array" ref="AD122">SUM($F$2:$F$59*($C$2:$C$59=$Q$4))</f>
        <v>21.983000000000001</v>
      </c>
      <c r="AE122" s="3">
        <f t="shared" si="8"/>
        <v>408.66397000000001</v>
      </c>
      <c r="AF122" s="3">
        <v>16.489999999999998</v>
      </c>
      <c r="AG122" s="2" cm="1">
        <f t="array" ref="AG122">SUM($F$2:$F$59*($C$2:$C$59=$Q$5))</f>
        <v>43.772999999999996</v>
      </c>
      <c r="AH122" s="3">
        <f t="shared" si="9"/>
        <v>721.81676999999991</v>
      </c>
      <c r="AI122" s="3">
        <v>21.3</v>
      </c>
      <c r="AJ122" s="2" cm="1">
        <f t="array" ref="AJ122">SUM($F$2:$F$59*($C$2:$C$59=$Q$6))</f>
        <v>0</v>
      </c>
      <c r="AK122" s="3">
        <f t="shared" si="10"/>
        <v>0</v>
      </c>
      <c r="AL122" s="3">
        <v>16.72</v>
      </c>
      <c r="AM122" s="2" cm="1">
        <f t="array" ref="AM122">SUM($F$2:$F$59*($C$2:$C$59=$Q$8))</f>
        <v>0</v>
      </c>
      <c r="AN122" s="3">
        <f t="shared" si="11"/>
        <v>0</v>
      </c>
      <c r="AO122" s="3">
        <f>SUM(J2:J59)</f>
        <v>1376.3100000000004</v>
      </c>
      <c r="AP1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4336.2533640000001</v>
      </c>
      <c r="AQ122" s="3" cm="1">
        <f t="array" aca="1" ref="AQ122" ca="1">OFFSET(Table7[[#This Row],[Investment Increase]],0,-1)-SUM($J$2:$J$59*($E$2:$E$59=$Q$31))</f>
        <v>897.25336400000015</v>
      </c>
    </row>
    <row r="123" spans="22:43" x14ac:dyDescent="0.45">
      <c r="V123" s="9">
        <v>44568</v>
      </c>
      <c r="W123" s="3">
        <v>187.93</v>
      </c>
      <c r="X123" s="2" cm="1">
        <f t="array" ref="X123">SUM($F$2:$F$59*($C$2:$C$59=$Q$2))</f>
        <v>4.3230000000000004</v>
      </c>
      <c r="Y123" s="3">
        <f t="shared" si="6"/>
        <v>812.42139000000009</v>
      </c>
      <c r="Z123" s="3">
        <v>173.54</v>
      </c>
      <c r="AA123" s="2" cm="1">
        <f t="array" ref="AA123">SUM($F$2:$F$59*($C$2:$C$59=$Q$3))</f>
        <v>5.8720999999999997</v>
      </c>
      <c r="AB123" s="3">
        <f t="shared" si="7"/>
        <v>1019.0442339999998</v>
      </c>
      <c r="AC123" s="3">
        <v>18.600000000000001</v>
      </c>
      <c r="AD123" s="2" cm="1">
        <f t="array" ref="AD123">SUM($F$2:$F$59*($C$2:$C$59=$Q$4))</f>
        <v>21.983000000000001</v>
      </c>
      <c r="AE123" s="3">
        <f t="shared" si="8"/>
        <v>408.88380000000006</v>
      </c>
      <c r="AF123" s="3">
        <v>16.5</v>
      </c>
      <c r="AG123" s="2" cm="1">
        <f t="array" ref="AG123">SUM($F$2:$F$59*($C$2:$C$59=$Q$5))</f>
        <v>43.772999999999996</v>
      </c>
      <c r="AH123" s="3">
        <f t="shared" si="9"/>
        <v>722.25449999999989</v>
      </c>
      <c r="AI123" s="3">
        <v>21.3</v>
      </c>
      <c r="AJ123" s="2" cm="1">
        <f t="array" ref="AJ123">SUM($F$2:$F$59*($C$2:$C$59=$Q$6))</f>
        <v>0</v>
      </c>
      <c r="AK123" s="3">
        <f t="shared" si="10"/>
        <v>0</v>
      </c>
      <c r="AL123" s="3">
        <v>16.77</v>
      </c>
      <c r="AM123" s="2" cm="1">
        <f t="array" ref="AM123">SUM($F$2:$F$59*($C$2:$C$59=$Q$8))</f>
        <v>0</v>
      </c>
      <c r="AN123" s="3">
        <f t="shared" si="11"/>
        <v>0</v>
      </c>
      <c r="AO123" s="3">
        <f>SUM(J2:J59)</f>
        <v>1376.3100000000004</v>
      </c>
      <c r="AP1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4338.9139240000004</v>
      </c>
      <c r="AQ123" s="3" cm="1">
        <f t="array" aca="1" ref="AQ123" ca="1">OFFSET(Table7[[#This Row],[Investment Increase]],0,-1)-SUM($J$2:$J$59*($E$2:$E$59=$Q$31))</f>
        <v>899.91392400000041</v>
      </c>
    </row>
    <row r="124" spans="22:43" x14ac:dyDescent="0.45">
      <c r="V124" s="9">
        <v>44567</v>
      </c>
      <c r="W124" s="3">
        <v>189.76</v>
      </c>
      <c r="X124" s="2" cm="1">
        <f t="array" ref="X124">SUM($F$2:$F$59*($C$2:$C$59=$Q$2))</f>
        <v>4.3230000000000004</v>
      </c>
      <c r="Y124" s="3">
        <f t="shared" si="6"/>
        <v>820.33248000000003</v>
      </c>
      <c r="Z124" s="3">
        <v>175.74</v>
      </c>
      <c r="AA124" s="2" cm="1">
        <f t="array" ref="AA124">SUM($F$2:$F$59*($C$2:$C$59=$Q$3))</f>
        <v>5.8720999999999997</v>
      </c>
      <c r="AB124" s="3">
        <f t="shared" si="7"/>
        <v>1031.9628539999999</v>
      </c>
      <c r="AC124" s="3">
        <v>18.760000000000002</v>
      </c>
      <c r="AD124" s="2" cm="1">
        <f t="array" ref="AD124">SUM($F$2:$F$59*($C$2:$C$59=$Q$4))</f>
        <v>21.983000000000001</v>
      </c>
      <c r="AE124" s="3">
        <f t="shared" si="8"/>
        <v>412.40108000000004</v>
      </c>
      <c r="AF124" s="3">
        <v>16.57</v>
      </c>
      <c r="AG124" s="2" cm="1">
        <f t="array" ref="AG124">SUM($F$2:$F$59*($C$2:$C$59=$Q$5))</f>
        <v>43.772999999999996</v>
      </c>
      <c r="AH124" s="3">
        <f t="shared" si="9"/>
        <v>725.31860999999992</v>
      </c>
      <c r="AI124" s="3">
        <v>21.36</v>
      </c>
      <c r="AJ124" s="2" cm="1">
        <f t="array" ref="AJ124">SUM($F$2:$F$59*($C$2:$C$59=$Q$6))</f>
        <v>0</v>
      </c>
      <c r="AK124" s="3">
        <f t="shared" si="10"/>
        <v>0</v>
      </c>
      <c r="AL124" s="3">
        <v>16.54</v>
      </c>
      <c r="AM124" s="2" cm="1">
        <f t="array" ref="AM124">SUM($F$2:$F$59*($C$2:$C$59=$Q$8))</f>
        <v>0</v>
      </c>
      <c r="AN124" s="3">
        <f t="shared" si="11"/>
        <v>0</v>
      </c>
      <c r="AO124" s="3">
        <f>SUM(J2:J59)</f>
        <v>1376.3100000000004</v>
      </c>
      <c r="AP1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4366.3250239999998</v>
      </c>
      <c r="AQ124" s="3" cm="1">
        <f t="array" aca="1" ref="AQ124" ca="1">OFFSET(Table7[[#This Row],[Investment Increase]],0,-1)-SUM($J$2:$J$59*($E$2:$E$59=$Q$31))</f>
        <v>927.32502399999976</v>
      </c>
    </row>
    <row r="125" spans="22:43" x14ac:dyDescent="0.45">
      <c r="V125" s="9">
        <v>44566</v>
      </c>
      <c r="W125" s="3">
        <v>190</v>
      </c>
      <c r="X125" s="2" cm="1">
        <f t="array" ref="X125">SUM($F$2:$F$59*($C$2:$C$59=$Q$2))</f>
        <v>4.3230000000000004</v>
      </c>
      <c r="Y125" s="3">
        <f t="shared" si="6"/>
        <v>821.37000000000012</v>
      </c>
      <c r="Z125" s="3">
        <v>175.8</v>
      </c>
      <c r="AA125" s="2" cm="1">
        <f t="array" ref="AA125">SUM($F$2:$F$59*($C$2:$C$59=$Q$3))</f>
        <v>5.8720999999999997</v>
      </c>
      <c r="AB125" s="3">
        <f t="shared" si="7"/>
        <v>1032.3151800000001</v>
      </c>
      <c r="AC125" s="3">
        <v>18.77</v>
      </c>
      <c r="AD125" s="2" cm="1">
        <f t="array" ref="AD125">SUM($F$2:$F$59*($C$2:$C$59=$Q$4))</f>
        <v>21.983000000000001</v>
      </c>
      <c r="AE125" s="3">
        <f t="shared" si="8"/>
        <v>412.62090999999998</v>
      </c>
      <c r="AF125" s="3">
        <v>16.59</v>
      </c>
      <c r="AG125" s="2" cm="1">
        <f t="array" ref="AG125">SUM($F$2:$F$59*($C$2:$C$59=$Q$5))</f>
        <v>43.772999999999996</v>
      </c>
      <c r="AH125" s="3">
        <f t="shared" si="9"/>
        <v>726.1940699999999</v>
      </c>
      <c r="AI125" s="3">
        <v>21.34</v>
      </c>
      <c r="AJ125" s="2" cm="1">
        <f t="array" ref="AJ125">SUM($F$2:$F$59*($C$2:$C$59=$Q$6))</f>
        <v>0</v>
      </c>
      <c r="AK125" s="3">
        <f t="shared" si="10"/>
        <v>0</v>
      </c>
      <c r="AL125" s="3">
        <v>16.46</v>
      </c>
      <c r="AM125" s="2" cm="1">
        <f t="array" ref="AM125">SUM($F$2:$F$59*($C$2:$C$59=$Q$8))</f>
        <v>0</v>
      </c>
      <c r="AN125" s="3">
        <f t="shared" si="11"/>
        <v>0</v>
      </c>
      <c r="AO125" s="3">
        <f>SUM(J2:J59)</f>
        <v>1376.3100000000004</v>
      </c>
      <c r="AP1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4368.8101600000009</v>
      </c>
      <c r="AQ125" s="3" cm="1">
        <f t="array" aca="1" ref="AQ125" ca="1">OFFSET(Table7[[#This Row],[Investment Increase]],0,-1)-SUM($J$2:$J$59*($E$2:$E$59=$Q$31))</f>
        <v>929.81016000000091</v>
      </c>
    </row>
    <row r="126" spans="22:43" x14ac:dyDescent="0.45">
      <c r="V126" s="9">
        <v>44565</v>
      </c>
      <c r="W126" s="3">
        <v>196.57</v>
      </c>
      <c r="X126" s="2" cm="1">
        <f t="array" ref="X126">SUM($F$2:$F$59*($C$2:$C$59=$Q$2))</f>
        <v>4.3230000000000004</v>
      </c>
      <c r="Y126" s="3">
        <f t="shared" si="6"/>
        <v>849.77211</v>
      </c>
      <c r="Z126" s="3">
        <v>183.12</v>
      </c>
      <c r="AA126" s="2" cm="1">
        <f t="array" ref="AA126">SUM($F$2:$F$59*($C$2:$C$59=$Q$3))</f>
        <v>5.8720999999999997</v>
      </c>
      <c r="AB126" s="3">
        <f t="shared" si="7"/>
        <v>1075.2989519999999</v>
      </c>
      <c r="AC126" s="3">
        <v>19.489999999999998</v>
      </c>
      <c r="AD126" s="2" cm="1">
        <f t="array" ref="AD126">SUM($F$2:$F$59*($C$2:$C$59=$Q$4))</f>
        <v>21.983000000000001</v>
      </c>
      <c r="AE126" s="3">
        <f t="shared" si="8"/>
        <v>428.44866999999999</v>
      </c>
      <c r="AF126" s="3">
        <v>16.940000000000001</v>
      </c>
      <c r="AG126" s="2" cm="1">
        <f t="array" ref="AG126">SUM($F$2:$F$59*($C$2:$C$59=$Q$5))</f>
        <v>43.772999999999996</v>
      </c>
      <c r="AH126" s="3">
        <f t="shared" si="9"/>
        <v>741.51462000000004</v>
      </c>
      <c r="AI126" s="3">
        <v>21.75</v>
      </c>
      <c r="AJ126" s="2" cm="1">
        <f t="array" ref="AJ126">SUM($F$2:$F$59*($C$2:$C$59=$Q$6))</f>
        <v>0</v>
      </c>
      <c r="AK126" s="3">
        <f t="shared" si="10"/>
        <v>0</v>
      </c>
      <c r="AL126" s="3">
        <v>16.57</v>
      </c>
      <c r="AM126" s="2" cm="1">
        <f t="array" ref="AM126">SUM($F$2:$F$59*($C$2:$C$59=$Q$8))</f>
        <v>0</v>
      </c>
      <c r="AN126" s="3">
        <f t="shared" si="11"/>
        <v>0</v>
      </c>
      <c r="AO126" s="3">
        <f>SUM(J2:J59)</f>
        <v>1376.3100000000004</v>
      </c>
      <c r="AP1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4471.3443520000001</v>
      </c>
      <c r="AQ126" s="3" cm="1">
        <f t="array" aca="1" ref="AQ126" ca="1">OFFSET(Table7[[#This Row],[Investment Increase]],0,-1)-SUM($J$2:$J$59*($E$2:$E$59=$Q$31))</f>
        <v>1032.3443520000001</v>
      </c>
    </row>
    <row r="127" spans="22:43" x14ac:dyDescent="0.45">
      <c r="V127" s="9">
        <v>44564</v>
      </c>
      <c r="W127" s="3">
        <v>199.18</v>
      </c>
      <c r="X127" s="2" cm="1">
        <f t="array" ref="X127">SUM($F$2:$F$59*($C$2:$C$59=$Q$2))</f>
        <v>4.3230000000000004</v>
      </c>
      <c r="Y127" s="3">
        <f t="shared" si="6"/>
        <v>861.05514000000016</v>
      </c>
      <c r="Z127" s="3">
        <v>185.96</v>
      </c>
      <c r="AA127" s="2" cm="1">
        <f t="array" ref="AA127">SUM($F$2:$F$59*($C$2:$C$59=$Q$3))</f>
        <v>5.8720999999999997</v>
      </c>
      <c r="AB127" s="3">
        <f t="shared" si="7"/>
        <v>1091.9757159999999</v>
      </c>
      <c r="AC127" s="3">
        <v>19.760000000000002</v>
      </c>
      <c r="AD127" s="2" cm="1">
        <f t="array" ref="AD127">SUM($F$2:$F$59*($C$2:$C$59=$Q$4))</f>
        <v>21.983000000000001</v>
      </c>
      <c r="AE127" s="3">
        <f t="shared" si="8"/>
        <v>434.38408000000004</v>
      </c>
      <c r="AF127" s="3">
        <v>16.97</v>
      </c>
      <c r="AG127" s="2" cm="1">
        <f t="array" ref="AG127">SUM($F$2:$F$59*($C$2:$C$59=$Q$5))</f>
        <v>43.772999999999996</v>
      </c>
      <c r="AH127" s="3">
        <f t="shared" si="9"/>
        <v>742.82780999999989</v>
      </c>
      <c r="AI127" s="3">
        <v>21.75</v>
      </c>
      <c r="AJ127" s="2" cm="1">
        <f t="array" ref="AJ127">SUM($F$2:$F$59*($C$2:$C$59=$Q$6))</f>
        <v>0</v>
      </c>
      <c r="AK127" s="3">
        <f t="shared" si="10"/>
        <v>0</v>
      </c>
      <c r="AL127" s="3">
        <v>16.329999999999998</v>
      </c>
      <c r="AM127" s="2" cm="1">
        <f t="array" ref="AM127">SUM($F$2:$F$59*($C$2:$C$59=$Q$8))</f>
        <v>0</v>
      </c>
      <c r="AN127" s="3">
        <f t="shared" si="11"/>
        <v>0</v>
      </c>
      <c r="AO127" s="3">
        <f>SUM(J2:J59)</f>
        <v>1376.3100000000004</v>
      </c>
      <c r="AP1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4506.5527460000003</v>
      </c>
      <c r="AQ127" s="3" cm="1">
        <f t="array" aca="1" ref="AQ127" ca="1">OFFSET(Table7[[#This Row],[Investment Increase]],0,-1)-SUM($J$2:$J$59*($E$2:$E$59=$Q$31))</f>
        <v>1067.5527460000003</v>
      </c>
    </row>
    <row r="128" spans="22:43" x14ac:dyDescent="0.45">
      <c r="V128" s="9">
        <v>44561</v>
      </c>
      <c r="W128" s="3">
        <v>196.82</v>
      </c>
      <c r="X128" s="2" cm="1">
        <f t="array" ref="X128">SUM($F$2:$F$59*($C$2:$C$59=$Q$2))</f>
        <v>4.3230000000000004</v>
      </c>
      <c r="Y128" s="3">
        <f t="shared" si="6"/>
        <v>850.85286000000008</v>
      </c>
      <c r="Z128" s="3">
        <v>183.62</v>
      </c>
      <c r="AA128" s="2" cm="1">
        <f t="array" ref="AA128">SUM($F$2:$F$59*($C$2:$C$59=$Q$3))</f>
        <v>5.8720999999999997</v>
      </c>
      <c r="AB128" s="3">
        <f t="shared" si="7"/>
        <v>1078.2350019999999</v>
      </c>
      <c r="AC128" s="3">
        <v>19.600000000000001</v>
      </c>
      <c r="AD128" s="2" cm="1">
        <f t="array" ref="AD128">SUM($F$2:$F$59*($C$2:$C$59=$Q$4))</f>
        <v>21.983000000000001</v>
      </c>
      <c r="AE128" s="3">
        <f t="shared" si="8"/>
        <v>430.86680000000007</v>
      </c>
      <c r="AF128" s="3">
        <v>16.87</v>
      </c>
      <c r="AG128" s="2" cm="1">
        <f t="array" ref="AG128">SUM($F$2:$F$59*($C$2:$C$59=$Q$5))</f>
        <v>43.772999999999996</v>
      </c>
      <c r="AH128" s="3">
        <f t="shared" si="9"/>
        <v>738.45051000000001</v>
      </c>
      <c r="AI128" s="3">
        <v>21.58</v>
      </c>
      <c r="AJ128" s="2" cm="1">
        <f t="array" ref="AJ128">SUM($F$2:$F$59*($C$2:$C$59=$Q$6))</f>
        <v>0</v>
      </c>
      <c r="AK128" s="3">
        <f t="shared" si="10"/>
        <v>0</v>
      </c>
      <c r="AL128" s="3">
        <v>16.239999999999998</v>
      </c>
      <c r="AM128" s="2" cm="1">
        <f t="array" ref="AM128">SUM($F$2:$F$59*($C$2:$C$59=$Q$8))</f>
        <v>0</v>
      </c>
      <c r="AN128" s="3">
        <f t="shared" si="11"/>
        <v>0</v>
      </c>
      <c r="AO128" s="3">
        <f>SUM(J2:J59)</f>
        <v>1376.3100000000004</v>
      </c>
      <c r="AP1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4474.7151720000002</v>
      </c>
      <c r="AQ128" s="3" cm="1">
        <f t="array" aca="1" ref="AQ128" ca="1">OFFSET(Table7[[#This Row],[Investment Increase]],0,-1)-SUM($J$2:$J$59*($E$2:$E$59=$Q$31))</f>
        <v>1035.7151720000002</v>
      </c>
    </row>
    <row r="129" spans="22:43" x14ac:dyDescent="0.45">
      <c r="V129" s="9">
        <v>44560</v>
      </c>
      <c r="W129" s="3">
        <v>198.03</v>
      </c>
      <c r="X129" s="2" cm="1">
        <f t="array" ref="X129">SUM($F$2:$F$59*($C$2:$C$59=$Q$2))</f>
        <v>4.3230000000000004</v>
      </c>
      <c r="Y129" s="3">
        <f t="shared" si="6"/>
        <v>856.08369000000005</v>
      </c>
      <c r="Z129" s="3">
        <v>184.82</v>
      </c>
      <c r="AA129" s="2" cm="1">
        <f t="array" ref="AA129">SUM($F$2:$F$59*($C$2:$C$59=$Q$3))</f>
        <v>5.8720999999999997</v>
      </c>
      <c r="AB129" s="3">
        <f t="shared" si="7"/>
        <v>1085.281522</v>
      </c>
      <c r="AC129" s="3">
        <v>19.75</v>
      </c>
      <c r="AD129" s="2" cm="1">
        <f t="array" ref="AD129">SUM($F$2:$F$59*($C$2:$C$59=$Q$4))</f>
        <v>21.983000000000001</v>
      </c>
      <c r="AE129" s="3">
        <f t="shared" si="8"/>
        <v>434.16425000000004</v>
      </c>
      <c r="AF129" s="3">
        <v>16.920000000000002</v>
      </c>
      <c r="AG129" s="2" cm="1">
        <f t="array" ref="AG129">SUM($F$2:$F$59*($C$2:$C$59=$Q$5))</f>
        <v>43.772999999999996</v>
      </c>
      <c r="AH129" s="3">
        <f t="shared" si="9"/>
        <v>740.63916000000006</v>
      </c>
      <c r="AI129" s="3">
        <v>21.64</v>
      </c>
      <c r="AJ129" s="2" cm="1">
        <f t="array" ref="AJ129">SUM($F$2:$F$59*($C$2:$C$59=$Q$6))</f>
        <v>0</v>
      </c>
      <c r="AK129" s="3">
        <f t="shared" si="10"/>
        <v>0</v>
      </c>
      <c r="AL129" s="3">
        <v>16.190000000000001</v>
      </c>
      <c r="AM129" s="2" cm="1">
        <f t="array" ref="AM129">SUM($F$2:$F$59*($C$2:$C$59=$Q$8))</f>
        <v>0</v>
      </c>
      <c r="AN129" s="3">
        <f t="shared" si="11"/>
        <v>0</v>
      </c>
      <c r="AO129" s="3">
        <f>SUM(J2:J59)</f>
        <v>1376.3100000000004</v>
      </c>
      <c r="AP1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4492.4786220000005</v>
      </c>
      <c r="AQ129" s="3" cm="1">
        <f t="array" aca="1" ref="AQ129" ca="1">OFFSET(Table7[[#This Row],[Investment Increase]],0,-1)-SUM($J$2:$J$59*($E$2:$E$59=$Q$31))</f>
        <v>1053.4786220000005</v>
      </c>
    </row>
    <row r="130" spans="22:43" x14ac:dyDescent="0.45">
      <c r="V130" s="9">
        <v>44559</v>
      </c>
      <c r="W130" s="3">
        <v>198.35</v>
      </c>
      <c r="X130" s="2" cm="1">
        <f t="array" ref="X130">SUM($F$2:$F$59*($C$2:$C$59=$Q$2))</f>
        <v>4.3230000000000004</v>
      </c>
      <c r="Y130" s="3">
        <f t="shared" ref="Y130:Y193" si="12">PRODUCT(W130,X130)</f>
        <v>857.46705000000009</v>
      </c>
      <c r="Z130" s="3">
        <v>184.81</v>
      </c>
      <c r="AA130" s="2" cm="1">
        <f t="array" ref="AA130">SUM($F$2:$F$59*($C$2:$C$59=$Q$3))</f>
        <v>5.8720999999999997</v>
      </c>
      <c r="AB130" s="3">
        <f t="shared" ref="AB130:AB193" si="13">PRODUCT(Z130,AA130)</f>
        <v>1085.2228009999999</v>
      </c>
      <c r="AC130" s="3">
        <v>19.760000000000002</v>
      </c>
      <c r="AD130" s="2" cm="1">
        <f t="array" ref="AD130">SUM($F$2:$F$59*($C$2:$C$59=$Q$4))</f>
        <v>21.983000000000001</v>
      </c>
      <c r="AE130" s="3">
        <f t="shared" ref="AE130:AE193" si="14">PRODUCT(AC130,AD130)</f>
        <v>434.38408000000004</v>
      </c>
      <c r="AF130" s="3">
        <v>16.96</v>
      </c>
      <c r="AG130" s="2" cm="1">
        <f t="array" ref="AG130">SUM($F$2:$F$59*($C$2:$C$59=$Q$5))</f>
        <v>43.772999999999996</v>
      </c>
      <c r="AH130" s="3">
        <f t="shared" ref="AH130:AH193" si="15">PRODUCT(AF130,AG130)</f>
        <v>742.39008000000001</v>
      </c>
      <c r="AI130" s="3">
        <v>21.72</v>
      </c>
      <c r="AJ130" s="2" cm="1">
        <f t="array" ref="AJ130">SUM($F$2:$F$59*($C$2:$C$59=$Q$6))</f>
        <v>0</v>
      </c>
      <c r="AK130" s="3">
        <f t="shared" ref="AK130:AK193" si="16">PRODUCT(AI130,AJ130)</f>
        <v>0</v>
      </c>
      <c r="AL130" s="3">
        <v>16.25</v>
      </c>
      <c r="AM130" s="2" cm="1">
        <f t="array" ref="AM130">SUM($F$2:$F$59*($C$2:$C$59=$Q$8))</f>
        <v>0</v>
      </c>
      <c r="AN130" s="3">
        <f t="shared" ref="AN130:AN193" si="17">PRODUCT(AL130,AM130)</f>
        <v>0</v>
      </c>
      <c r="AO130" s="3">
        <f>SUM(J2:J59)</f>
        <v>1376.3100000000004</v>
      </c>
      <c r="AP1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4495.7740110000004</v>
      </c>
      <c r="AQ130" s="3" cm="1">
        <f t="array" aca="1" ref="AQ130" ca="1">OFFSET(Table7[[#This Row],[Investment Increase]],0,-1)-SUM($J$2:$J$59*($E$2:$E$59=$Q$31))</f>
        <v>1056.7740110000004</v>
      </c>
    </row>
    <row r="131" spans="22:43" x14ac:dyDescent="0.45">
      <c r="V131" s="9">
        <v>44558</v>
      </c>
      <c r="W131" s="3">
        <v>198.54</v>
      </c>
      <c r="X131" s="2" cm="1">
        <f t="array" ref="X131">SUM($F$2:$F$59*($C$2:$C$59=$Q$2))</f>
        <v>4.3230000000000004</v>
      </c>
      <c r="Y131" s="3">
        <f t="shared" si="12"/>
        <v>858.28842000000009</v>
      </c>
      <c r="Z131" s="3">
        <v>185</v>
      </c>
      <c r="AA131" s="2" cm="1">
        <f t="array" ref="AA131">SUM($F$2:$F$59*($C$2:$C$59=$Q$3))</f>
        <v>5.8720999999999997</v>
      </c>
      <c r="AB131" s="3">
        <f t="shared" si="13"/>
        <v>1086.3384999999998</v>
      </c>
      <c r="AC131" s="3">
        <v>19.78</v>
      </c>
      <c r="AD131" s="2" cm="1">
        <f t="array" ref="AD131">SUM($F$2:$F$59*($C$2:$C$59=$Q$4))</f>
        <v>21.983000000000001</v>
      </c>
      <c r="AE131" s="3">
        <f t="shared" si="14"/>
        <v>434.82374000000004</v>
      </c>
      <c r="AF131" s="3">
        <v>16.940000000000001</v>
      </c>
      <c r="AG131" s="2" cm="1">
        <f t="array" ref="AG131">SUM($F$2:$F$59*($C$2:$C$59=$Q$5))</f>
        <v>43.772999999999996</v>
      </c>
      <c r="AH131" s="3">
        <f t="shared" si="15"/>
        <v>741.51462000000004</v>
      </c>
      <c r="AI131" s="3">
        <v>21.68</v>
      </c>
      <c r="AJ131" s="2" cm="1">
        <f t="array" ref="AJ131">SUM($F$2:$F$59*($C$2:$C$59=$Q$6))</f>
        <v>0</v>
      </c>
      <c r="AK131" s="3">
        <f t="shared" si="16"/>
        <v>0</v>
      </c>
      <c r="AL131" s="3">
        <v>16.27</v>
      </c>
      <c r="AM131" s="2" cm="1">
        <f t="array" ref="AM131">SUM($F$2:$F$59*($C$2:$C$59=$Q$8))</f>
        <v>0</v>
      </c>
      <c r="AN131" s="3">
        <f t="shared" si="17"/>
        <v>0</v>
      </c>
      <c r="AO131" s="3">
        <f>SUM(J2:J59)</f>
        <v>1376.3100000000004</v>
      </c>
      <c r="AP1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4497.2752799999998</v>
      </c>
      <c r="AQ131" s="3" cm="1">
        <f t="array" aca="1" ref="AQ131" ca="1">OFFSET(Table7[[#This Row],[Investment Increase]],0,-1)-SUM($J$2:$J$59*($E$2:$E$59=$Q$31))</f>
        <v>1058.2752799999998</v>
      </c>
    </row>
    <row r="132" spans="22:43" x14ac:dyDescent="0.45">
      <c r="V132" s="9">
        <v>44557</v>
      </c>
      <c r="W132" s="3">
        <v>200.6</v>
      </c>
      <c r="X132" s="2" cm="1">
        <f t="array" ref="X132">SUM($F$2:$F$59*($C$2:$C$59=$Q$2))</f>
        <v>4.3230000000000004</v>
      </c>
      <c r="Y132" s="3">
        <f t="shared" si="12"/>
        <v>867.19380000000001</v>
      </c>
      <c r="Z132" s="3">
        <v>186.67</v>
      </c>
      <c r="AA132" s="2" cm="1">
        <f t="array" ref="AA132">SUM($F$2:$F$59*($C$2:$C$59=$Q$3))</f>
        <v>5.8720999999999997</v>
      </c>
      <c r="AB132" s="3">
        <f t="shared" si="13"/>
        <v>1096.1449069999999</v>
      </c>
      <c r="AC132" s="3">
        <v>19.920000000000002</v>
      </c>
      <c r="AD132" s="2" cm="1">
        <f t="array" ref="AD132">SUM($F$2:$F$59*($C$2:$C$59=$Q$4))</f>
        <v>21.983000000000001</v>
      </c>
      <c r="AE132" s="3">
        <f t="shared" si="14"/>
        <v>437.90136000000007</v>
      </c>
      <c r="AF132" s="3">
        <v>16.97</v>
      </c>
      <c r="AG132" s="2" cm="1">
        <f t="array" ref="AG132">SUM($F$2:$F$59*($C$2:$C$59=$Q$5))</f>
        <v>43.772999999999996</v>
      </c>
      <c r="AH132" s="3">
        <f t="shared" si="15"/>
        <v>742.82780999999989</v>
      </c>
      <c r="AI132" s="3">
        <v>21.71</v>
      </c>
      <c r="AJ132" s="2" cm="1">
        <f t="array" ref="AJ132">SUM($F$2:$F$59*($C$2:$C$59=$Q$6))</f>
        <v>0</v>
      </c>
      <c r="AK132" s="3">
        <f t="shared" si="16"/>
        <v>0</v>
      </c>
      <c r="AL132" s="3">
        <v>16.29</v>
      </c>
      <c r="AM132" s="2" cm="1">
        <f t="array" ref="AM132">SUM($F$2:$F$59*($C$2:$C$59=$Q$8))</f>
        <v>0</v>
      </c>
      <c r="AN132" s="3">
        <f t="shared" si="17"/>
        <v>0</v>
      </c>
      <c r="AO132" s="3">
        <f>SUM(J2:J59)</f>
        <v>1376.3100000000004</v>
      </c>
      <c r="AP1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4520.3778769999999</v>
      </c>
      <c r="AQ132" s="3" cm="1">
        <f t="array" aca="1" ref="AQ132" ca="1">OFFSET(Table7[[#This Row],[Investment Increase]],0,-1)-SUM($J$2:$J$59*($E$2:$E$59=$Q$31))</f>
        <v>1081.3778769999999</v>
      </c>
    </row>
    <row r="133" spans="22:43" x14ac:dyDescent="0.45">
      <c r="V133" s="9">
        <v>44553</v>
      </c>
      <c r="W133" s="3">
        <v>197.84</v>
      </c>
      <c r="X133" s="2" cm="1">
        <f t="array" ref="X133">SUM($F$2:$F$59*($C$2:$C$59=$Q$2))</f>
        <v>4.3230000000000004</v>
      </c>
      <c r="Y133" s="3">
        <f t="shared" si="12"/>
        <v>855.26232000000005</v>
      </c>
      <c r="Z133" s="3">
        <v>184.09</v>
      </c>
      <c r="AA133" s="2" cm="1">
        <f t="array" ref="AA133">SUM($F$2:$F$59*($C$2:$C$59=$Q$3))</f>
        <v>5.8720999999999997</v>
      </c>
      <c r="AB133" s="3">
        <f t="shared" si="13"/>
        <v>1080.9948890000001</v>
      </c>
      <c r="AC133" s="3">
        <v>19.68</v>
      </c>
      <c r="AD133" s="2" cm="1">
        <f t="array" ref="AD133">SUM($F$2:$F$59*($C$2:$C$59=$Q$4))</f>
        <v>21.983000000000001</v>
      </c>
      <c r="AE133" s="3">
        <f t="shared" si="14"/>
        <v>432.62544000000003</v>
      </c>
      <c r="AF133" s="3">
        <v>16.75</v>
      </c>
      <c r="AG133" s="2" cm="1">
        <f t="array" ref="AG133">SUM($F$2:$F$59*($C$2:$C$59=$Q$5))</f>
        <v>43.772999999999996</v>
      </c>
      <c r="AH133" s="3">
        <f t="shared" si="15"/>
        <v>733.19774999999993</v>
      </c>
      <c r="AI133" s="3">
        <v>21.39</v>
      </c>
      <c r="AJ133" s="2" cm="1">
        <f t="array" ref="AJ133">SUM($F$2:$F$59*($C$2:$C$59=$Q$6))</f>
        <v>0</v>
      </c>
      <c r="AK133" s="3">
        <f t="shared" si="16"/>
        <v>0</v>
      </c>
      <c r="AL133" s="3">
        <v>16.05</v>
      </c>
      <c r="AM133" s="2" cm="1">
        <f t="array" ref="AM133">SUM($F$2:$F$59*($C$2:$C$59=$Q$8))</f>
        <v>0</v>
      </c>
      <c r="AN133" s="3">
        <f t="shared" si="17"/>
        <v>0</v>
      </c>
      <c r="AO133" s="3">
        <f>SUM(J2:J59)</f>
        <v>1376.3100000000004</v>
      </c>
      <c r="AP1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4478.3903989999999</v>
      </c>
      <c r="AQ133" s="3" cm="1">
        <f t="array" aca="1" ref="AQ133" ca="1">OFFSET(Table7[[#This Row],[Investment Increase]],0,-1)-SUM($J$2:$J$59*($E$2:$E$59=$Q$31))</f>
        <v>1039.3903989999999</v>
      </c>
    </row>
    <row r="134" spans="22:43" x14ac:dyDescent="0.45">
      <c r="V134" s="9">
        <v>44552</v>
      </c>
      <c r="W134" s="3">
        <v>196.18</v>
      </c>
      <c r="X134" s="2" cm="1">
        <f t="array" ref="X134">SUM($F$2:$F$59*($C$2:$C$59=$Q$2))</f>
        <v>4.3230000000000004</v>
      </c>
      <c r="Y134" s="3">
        <f t="shared" si="12"/>
        <v>848.08614000000011</v>
      </c>
      <c r="Z134" s="3">
        <v>182.55</v>
      </c>
      <c r="AA134" s="2" cm="1">
        <f t="array" ref="AA134">SUM($F$2:$F$59*($C$2:$C$59=$Q$3))</f>
        <v>5.8720999999999997</v>
      </c>
      <c r="AB134" s="3">
        <f t="shared" si="13"/>
        <v>1071.951855</v>
      </c>
      <c r="AC134" s="3">
        <v>19.55</v>
      </c>
      <c r="AD134" s="2" cm="1">
        <f t="array" ref="AD134">SUM($F$2:$F$59*($C$2:$C$59=$Q$4))</f>
        <v>21.983000000000001</v>
      </c>
      <c r="AE134" s="3">
        <f t="shared" si="14"/>
        <v>429.76765</v>
      </c>
      <c r="AF134" s="3">
        <v>16.64</v>
      </c>
      <c r="AG134" s="2" cm="1">
        <f t="array" ref="AG134">SUM($F$2:$F$59*($C$2:$C$59=$Q$5))</f>
        <v>43.772999999999996</v>
      </c>
      <c r="AH134" s="3">
        <f t="shared" si="15"/>
        <v>728.38271999999995</v>
      </c>
      <c r="AI134" s="3">
        <v>21.26</v>
      </c>
      <c r="AJ134" s="2" cm="1">
        <f t="array" ref="AJ134">SUM($F$2:$F$59*($C$2:$C$59=$Q$6))</f>
        <v>0</v>
      </c>
      <c r="AK134" s="3">
        <f t="shared" si="16"/>
        <v>0</v>
      </c>
      <c r="AL134" s="3">
        <v>15.96</v>
      </c>
      <c r="AM134" s="2" cm="1">
        <f t="array" ref="AM134">SUM($F$2:$F$59*($C$2:$C$59=$Q$8))</f>
        <v>0</v>
      </c>
      <c r="AN134" s="3">
        <f t="shared" si="17"/>
        <v>0</v>
      </c>
      <c r="AO134" s="3">
        <f>SUM(J2:J59)</f>
        <v>1376.3100000000004</v>
      </c>
      <c r="AP1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4454.4983650000013</v>
      </c>
      <c r="AQ134" s="3" cm="1">
        <f t="array" aca="1" ref="AQ134" ca="1">OFFSET(Table7[[#This Row],[Investment Increase]],0,-1)-SUM($J$2:$J$59*($E$2:$E$59=$Q$31))</f>
        <v>1015.4983650000013</v>
      </c>
    </row>
    <row r="135" spans="22:43" x14ac:dyDescent="0.45">
      <c r="V135" s="9">
        <v>44551</v>
      </c>
      <c r="W135" s="3">
        <v>193.89</v>
      </c>
      <c r="X135" s="2" cm="1">
        <f t="array" ref="X135">SUM($F$2:$F$59*($C$2:$C$59=$Q$2))</f>
        <v>4.3230000000000004</v>
      </c>
      <c r="Y135" s="3">
        <f t="shared" si="12"/>
        <v>838.18646999999999</v>
      </c>
      <c r="Z135" s="3">
        <v>180.35</v>
      </c>
      <c r="AA135" s="2" cm="1">
        <f t="array" ref="AA135">SUM($F$2:$F$59*($C$2:$C$59=$Q$3))</f>
        <v>5.8720999999999997</v>
      </c>
      <c r="AB135" s="3">
        <f t="shared" si="13"/>
        <v>1059.0332349999999</v>
      </c>
      <c r="AC135" s="3">
        <v>19.329999999999998</v>
      </c>
      <c r="AD135" s="2" cm="1">
        <f t="array" ref="AD135">SUM($F$2:$F$59*($C$2:$C$59=$Q$4))</f>
        <v>21.983000000000001</v>
      </c>
      <c r="AE135" s="3">
        <f t="shared" si="14"/>
        <v>424.93138999999996</v>
      </c>
      <c r="AF135" s="3">
        <v>16.48</v>
      </c>
      <c r="AG135" s="2" cm="1">
        <f t="array" ref="AG135">SUM($F$2:$F$59*($C$2:$C$59=$Q$5))</f>
        <v>43.772999999999996</v>
      </c>
      <c r="AH135" s="3">
        <f t="shared" si="15"/>
        <v>721.37903999999992</v>
      </c>
      <c r="AI135" s="3">
        <v>21.04</v>
      </c>
      <c r="AJ135" s="2" cm="1">
        <f t="array" ref="AJ135">SUM($F$2:$F$59*($C$2:$C$59=$Q$6))</f>
        <v>0</v>
      </c>
      <c r="AK135" s="3">
        <f t="shared" si="16"/>
        <v>0</v>
      </c>
      <c r="AL135" s="3">
        <v>15.76</v>
      </c>
      <c r="AM135" s="2" cm="1">
        <f t="array" ref="AM135">SUM($F$2:$F$59*($C$2:$C$59=$Q$8))</f>
        <v>0</v>
      </c>
      <c r="AN135" s="3">
        <f t="shared" si="17"/>
        <v>0</v>
      </c>
      <c r="AO135" s="3">
        <f>SUM(J2:J59)</f>
        <v>1376.3100000000004</v>
      </c>
      <c r="AP1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4419.8401350000004</v>
      </c>
      <c r="AQ135" s="3" cm="1">
        <f t="array" aca="1" ref="AQ135" ca="1">OFFSET(Table7[[#This Row],[Investment Increase]],0,-1)-SUM($J$2:$J$59*($E$2:$E$59=$Q$31))</f>
        <v>980.84013500000037</v>
      </c>
    </row>
    <row r="136" spans="22:43" x14ac:dyDescent="0.45">
      <c r="V136" s="9">
        <v>44550</v>
      </c>
      <c r="W136" s="3">
        <v>189.32</v>
      </c>
      <c r="X136" s="2" cm="1">
        <f t="array" ref="X136">SUM($F$2:$F$57*($C$2:$C$57=$Q$2))</f>
        <v>3.9319999999999999</v>
      </c>
      <c r="Y136" s="3">
        <f t="shared" si="12"/>
        <v>744.40623999999991</v>
      </c>
      <c r="Z136" s="3">
        <v>174.84</v>
      </c>
      <c r="AA136" s="2" cm="1">
        <f t="array" ref="AA136">SUM($F$2:$F$57*($C$2:$C$57=$Q$3))</f>
        <v>5.8720999999999997</v>
      </c>
      <c r="AB136" s="3">
        <f t="shared" si="13"/>
        <v>1026.677964</v>
      </c>
      <c r="AC136" s="3">
        <v>18.850000000000001</v>
      </c>
      <c r="AD136" s="2" cm="1">
        <f t="array" ref="AD136">SUM($F$2:$F$57*($C$2:$C$57=$Q$4))</f>
        <v>21.983000000000001</v>
      </c>
      <c r="AE136" s="3">
        <f t="shared" si="14"/>
        <v>414.37955000000005</v>
      </c>
      <c r="AF136" s="3">
        <v>16.18</v>
      </c>
      <c r="AG136" s="2" cm="1">
        <f t="array" ref="AG136">SUM($F$2:$F$57*($C$2:$C$57=$Q$5))</f>
        <v>43.772999999999996</v>
      </c>
      <c r="AH136" s="3">
        <f t="shared" si="15"/>
        <v>708.24713999999994</v>
      </c>
      <c r="AI136" s="3">
        <v>20.69</v>
      </c>
      <c r="AJ136" s="2" cm="1">
        <f t="array" ref="AJ136">SUM($F$2:$F$57*($C$2:$C$57=$Q$6))</f>
        <v>0</v>
      </c>
      <c r="AK136" s="3">
        <f t="shared" si="16"/>
        <v>0</v>
      </c>
      <c r="AL136" s="3">
        <v>15.34</v>
      </c>
      <c r="AM136" s="2" cm="1">
        <f t="array" ref="AM136">SUM($F$2:$F$57*($C$2:$C$57=$Q$8))</f>
        <v>0</v>
      </c>
      <c r="AN136" s="3">
        <f t="shared" si="17"/>
        <v>0</v>
      </c>
      <c r="AO136" s="3">
        <f>SUM(J2:J57)</f>
        <v>1376.3100000000004</v>
      </c>
      <c r="AP1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4270.0208940000002</v>
      </c>
      <c r="AQ136" s="3" cm="1">
        <f t="array" aca="1" ref="AQ136" ca="1">OFFSET(Table7[[#This Row],[Investment Increase]],0,-1)-SUM($J$2:$J$57*($E$2:$E$57=$Q$31))</f>
        <v>831.02089400000023</v>
      </c>
    </row>
    <row r="137" spans="22:43" x14ac:dyDescent="0.45">
      <c r="V137" s="9">
        <v>44547</v>
      </c>
      <c r="W137" s="3">
        <v>191.71</v>
      </c>
      <c r="X137" s="2" cm="1">
        <f t="array" ref="X137">SUM($F$2:$F$57*($C$2:$C$57=$Q$2))</f>
        <v>3.9319999999999999</v>
      </c>
      <c r="Y137" s="3">
        <f t="shared" si="12"/>
        <v>753.80372</v>
      </c>
      <c r="Z137" s="3">
        <v>177.39</v>
      </c>
      <c r="AA137" s="2" cm="1">
        <f t="array" ref="AA137">SUM($F$2:$F$57*($C$2:$C$57=$Q$3))</f>
        <v>5.8720999999999997</v>
      </c>
      <c r="AB137" s="3">
        <f t="shared" si="13"/>
        <v>1041.6518189999999</v>
      </c>
      <c r="AC137" s="3">
        <v>19.07</v>
      </c>
      <c r="AD137" s="2" cm="1">
        <f t="array" ref="AD137">SUM($F$2:$F$57*($C$2:$C$57=$Q$4))</f>
        <v>21.983000000000001</v>
      </c>
      <c r="AE137" s="3">
        <f t="shared" si="14"/>
        <v>419.21581000000003</v>
      </c>
      <c r="AF137" s="3">
        <v>16.37</v>
      </c>
      <c r="AG137" s="2" cm="1">
        <f t="array" ref="AG137">SUM($F$2:$F$57*($C$2:$C$57=$Q$5))</f>
        <v>43.772999999999996</v>
      </c>
      <c r="AH137" s="3">
        <f t="shared" si="15"/>
        <v>716.56400999999994</v>
      </c>
      <c r="AI137" s="3">
        <v>20.91</v>
      </c>
      <c r="AJ137" s="2" cm="1">
        <f t="array" ref="AJ137">SUM($F$2:$F$57*($C$2:$C$57=$Q$6))</f>
        <v>0</v>
      </c>
      <c r="AK137" s="3">
        <f t="shared" si="16"/>
        <v>0</v>
      </c>
      <c r="AL137" s="3">
        <v>15.62</v>
      </c>
      <c r="AM137" s="2" cm="1">
        <f t="array" ref="AM137">SUM($F$2:$F$57*($C$2:$C$57=$Q$8))</f>
        <v>0</v>
      </c>
      <c r="AN137" s="3">
        <f t="shared" si="17"/>
        <v>0</v>
      </c>
      <c r="AO137" s="3">
        <f>SUM(J2:J57)</f>
        <v>1376.3100000000004</v>
      </c>
      <c r="AP1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4307.5453590000006</v>
      </c>
      <c r="AQ137" s="3" cm="1">
        <f t="array" aca="1" ref="AQ137" ca="1">OFFSET(Table7[[#This Row],[Investment Increase]],0,-1)-SUM($J$2:$J$57*($E$2:$E$57=$Q$31))</f>
        <v>868.54535900000064</v>
      </c>
    </row>
    <row r="138" spans="22:43" x14ac:dyDescent="0.45">
      <c r="V138" s="9">
        <v>44546</v>
      </c>
      <c r="W138" s="3">
        <v>191.86</v>
      </c>
      <c r="X138" s="2" cm="1">
        <f t="array" ref="X138">SUM($F$2:$F$52*($C$2:$C$52=$Q$2))</f>
        <v>3.9319999999999999</v>
      </c>
      <c r="Y138" s="3">
        <f t="shared" si="12"/>
        <v>754.39352000000008</v>
      </c>
      <c r="Z138" s="3">
        <v>179.9</v>
      </c>
      <c r="AA138" s="2" cm="1">
        <f t="array" ref="AA138">SUM($F$2:$F$52*($C$2:$C$52=$Q$3))</f>
        <v>5.8030999999999997</v>
      </c>
      <c r="AB138" s="3">
        <f t="shared" si="13"/>
        <v>1043.9776899999999</v>
      </c>
      <c r="AC138" s="3">
        <v>19.66</v>
      </c>
      <c r="AD138" s="2" cm="1">
        <f t="array" ref="AD138">SUM($F$2:$F$52*($C$2:$C$52=$Q$4))</f>
        <v>21.37</v>
      </c>
      <c r="AE138" s="3">
        <f t="shared" si="14"/>
        <v>420.13420000000002</v>
      </c>
      <c r="AF138" s="3">
        <v>16.510000000000002</v>
      </c>
      <c r="AG138" s="2" cm="1">
        <f t="array" ref="AG138">SUM($F$2:$F$52*($C$2:$C$52=$Q$5))</f>
        <v>43.772999999999996</v>
      </c>
      <c r="AH138" s="3">
        <f t="shared" si="15"/>
        <v>722.69223</v>
      </c>
      <c r="AI138" s="3">
        <v>24.22</v>
      </c>
      <c r="AJ138" s="2" cm="1">
        <f t="array" ref="AJ138">SUM($F$2:$F$52*($C$2:$C$52=$Q$6))</f>
        <v>0</v>
      </c>
      <c r="AK138" s="3">
        <f t="shared" si="16"/>
        <v>0</v>
      </c>
      <c r="AL138" s="3">
        <v>15.8</v>
      </c>
      <c r="AM138" s="2" cm="1">
        <f t="array" ref="AM138">SUM($F$2:$F$52*($C$2:$C$52=$Q$8))</f>
        <v>0</v>
      </c>
      <c r="AN138" s="3">
        <f t="shared" si="17"/>
        <v>0</v>
      </c>
      <c r="AO138" s="3">
        <f>SUM(J2:J52)</f>
        <v>1378.5200000000004</v>
      </c>
      <c r="AP1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4319.7176400000008</v>
      </c>
      <c r="AQ138" s="3" cm="1">
        <f t="array" aca="1" ref="AQ138" ca="1">OFFSET(Table7[[#This Row],[Investment Increase]],0,-1)-SUM($J$2:$J$52*($E$2:$E$52=$Q$31))</f>
        <v>880.71764000000076</v>
      </c>
    </row>
    <row r="139" spans="22:43" x14ac:dyDescent="0.45">
      <c r="V139" s="9">
        <v>44545</v>
      </c>
      <c r="W139" s="3">
        <v>196.72</v>
      </c>
      <c r="X139" s="2" cm="1">
        <f t="array" ref="X139">SUM($F$2:$F$52*($C$2:$C$52=$Q$2))</f>
        <v>3.9319999999999999</v>
      </c>
      <c r="Y139" s="3">
        <f t="shared" si="12"/>
        <v>773.50303999999994</v>
      </c>
      <c r="Z139" s="3">
        <v>185.7</v>
      </c>
      <c r="AA139" s="2" cm="1">
        <f t="array" ref="AA139">SUM($F$2:$F$52*($C$2:$C$52=$Q$3))</f>
        <v>5.8030999999999997</v>
      </c>
      <c r="AB139" s="3">
        <f t="shared" si="13"/>
        <v>1077.6356699999999</v>
      </c>
      <c r="AC139" s="3">
        <v>20.190000000000001</v>
      </c>
      <c r="AD139" s="2" cm="1">
        <f t="array" ref="AD139">SUM($F$2:$F$52*($C$2:$C$52=$Q$4))</f>
        <v>21.37</v>
      </c>
      <c r="AE139" s="3">
        <f t="shared" si="14"/>
        <v>431.46030000000007</v>
      </c>
      <c r="AF139" s="3">
        <v>16.670000000000002</v>
      </c>
      <c r="AG139" s="2" cm="1">
        <f t="array" ref="AG139">SUM($F$2:$F$52*($C$2:$C$52=$Q$5))</f>
        <v>43.772999999999996</v>
      </c>
      <c r="AH139" s="3">
        <f t="shared" si="15"/>
        <v>729.69591000000003</v>
      </c>
      <c r="AI139" s="3">
        <v>24.44</v>
      </c>
      <c r="AJ139" s="2" cm="1">
        <f t="array" ref="AJ139">SUM($F$2:$F$52*($C$2:$C$52=$Q$6))</f>
        <v>0</v>
      </c>
      <c r="AK139" s="3">
        <f t="shared" si="16"/>
        <v>0</v>
      </c>
      <c r="AL139" s="3">
        <v>15.59</v>
      </c>
      <c r="AM139" s="2" cm="1">
        <f t="array" ref="AM139">SUM($F$2:$F$52*($C$2:$C$52=$Q$8))</f>
        <v>0</v>
      </c>
      <c r="AN139" s="3">
        <f t="shared" si="17"/>
        <v>0</v>
      </c>
      <c r="AO139" s="3">
        <f>SUM(J2:J52)</f>
        <v>1378.5200000000004</v>
      </c>
      <c r="AP1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4390.8149200000007</v>
      </c>
      <c r="AQ139" s="3" cm="1">
        <f t="array" aca="1" ref="AQ139" ca="1">OFFSET(Table7[[#This Row],[Investment Increase]],0,-1)-SUM($J$2:$J$52*($E$2:$E$52=$Q$31))</f>
        <v>951.81492000000071</v>
      </c>
    </row>
    <row r="140" spans="22:43" x14ac:dyDescent="0.45">
      <c r="V140" s="9">
        <v>44544</v>
      </c>
      <c r="W140" s="3">
        <v>192.57</v>
      </c>
      <c r="X140" s="2" cm="1">
        <f t="array" ref="X140">SUM($F$2:$F$52*($C$2:$C$52=$Q$2))</f>
        <v>3.9319999999999999</v>
      </c>
      <c r="Y140" s="3">
        <f t="shared" si="12"/>
        <v>757.18523999999991</v>
      </c>
      <c r="Z140" s="3">
        <v>182</v>
      </c>
      <c r="AA140" s="2" cm="1">
        <f t="array" ref="AA140">SUM($F$2:$F$52*($C$2:$C$52=$Q$3))</f>
        <v>5.8030999999999997</v>
      </c>
      <c r="AB140" s="3">
        <f t="shared" si="13"/>
        <v>1056.1641999999999</v>
      </c>
      <c r="AC140" s="3">
        <v>19.78</v>
      </c>
      <c r="AD140" s="2" cm="1">
        <f t="array" ref="AD140">SUM($F$2:$F$52*($C$2:$C$52=$Q$4))</f>
        <v>21.37</v>
      </c>
      <c r="AE140" s="3">
        <f t="shared" si="14"/>
        <v>422.69860000000006</v>
      </c>
      <c r="AF140" s="3">
        <v>16.399999999999999</v>
      </c>
      <c r="AG140" s="2" cm="1">
        <f t="array" ref="AG140">SUM($F$2:$F$52*($C$2:$C$52=$Q$5))</f>
        <v>43.772999999999996</v>
      </c>
      <c r="AH140" s="3">
        <f t="shared" si="15"/>
        <v>717.8771999999999</v>
      </c>
      <c r="AI140" s="3">
        <v>24.02</v>
      </c>
      <c r="AJ140" s="2" cm="1">
        <f t="array" ref="AJ140">SUM($F$2:$F$52*($C$2:$C$52=$Q$6))</f>
        <v>0</v>
      </c>
      <c r="AK140" s="3">
        <f t="shared" si="16"/>
        <v>0</v>
      </c>
      <c r="AL140" s="3">
        <v>15.6</v>
      </c>
      <c r="AM140" s="2" cm="1">
        <f t="array" ref="AM140">SUM($F$2:$F$52*($C$2:$C$52=$Q$8))</f>
        <v>0</v>
      </c>
      <c r="AN140" s="3">
        <f t="shared" si="17"/>
        <v>0</v>
      </c>
      <c r="AO140" s="3">
        <f>SUM(J2:J52)</f>
        <v>1378.5200000000004</v>
      </c>
      <c r="AP1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4332.4452400000009</v>
      </c>
      <c r="AQ140" s="3" cm="1">
        <f t="array" aca="1" ref="AQ140" ca="1">OFFSET(Table7[[#This Row],[Investment Increase]],0,-1)-SUM($J$2:$J$52*($E$2:$E$52=$Q$31))</f>
        <v>893.44524000000092</v>
      </c>
    </row>
    <row r="141" spans="22:43" x14ac:dyDescent="0.45">
      <c r="V141" s="9">
        <v>44543</v>
      </c>
      <c r="W141" s="3">
        <v>194.75</v>
      </c>
      <c r="X141" s="2" cm="1">
        <f t="array" ref="X141">SUM($F$2:$F$52*($C$2:$C$52=$Q$2))</f>
        <v>3.9319999999999999</v>
      </c>
      <c r="Y141" s="3">
        <f t="shared" si="12"/>
        <v>765.75699999999995</v>
      </c>
      <c r="Z141" s="3">
        <v>184.34</v>
      </c>
      <c r="AA141" s="2" cm="1">
        <f t="array" ref="AA141">SUM($F$2:$F$52*($C$2:$C$52=$Q$3))</f>
        <v>5.8030999999999997</v>
      </c>
      <c r="AB141" s="3">
        <f t="shared" si="13"/>
        <v>1069.7434539999999</v>
      </c>
      <c r="AC141" s="3">
        <v>20.05</v>
      </c>
      <c r="AD141" s="2" cm="1">
        <f t="array" ref="AD141">SUM($F$2:$F$52*($C$2:$C$52=$Q$4))</f>
        <v>21.37</v>
      </c>
      <c r="AE141" s="3">
        <f t="shared" si="14"/>
        <v>428.46850000000006</v>
      </c>
      <c r="AF141" s="3">
        <v>16.53</v>
      </c>
      <c r="AG141" s="2" cm="1">
        <f t="array" ref="AG141">SUM($F$2:$F$52*($C$2:$C$52=$Q$5))</f>
        <v>43.772999999999996</v>
      </c>
      <c r="AH141" s="3">
        <f t="shared" si="15"/>
        <v>723.56768999999997</v>
      </c>
      <c r="AI141" s="3">
        <v>24.16</v>
      </c>
      <c r="AJ141" s="2" cm="1">
        <f t="array" ref="AJ141">SUM($F$2:$F$52*($C$2:$C$52=$Q$6))</f>
        <v>0</v>
      </c>
      <c r="AK141" s="3">
        <f t="shared" si="16"/>
        <v>0</v>
      </c>
      <c r="AL141" s="3">
        <v>15.62</v>
      </c>
      <c r="AM141" s="2" cm="1">
        <f t="array" ref="AM141">SUM($F$2:$F$52*($C$2:$C$52=$Q$8))</f>
        <v>0</v>
      </c>
      <c r="AN141" s="3">
        <f t="shared" si="17"/>
        <v>0</v>
      </c>
      <c r="AO141" s="3">
        <f>SUM(J2:J52)</f>
        <v>1378.5200000000004</v>
      </c>
      <c r="AP1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4366.0566440000002</v>
      </c>
      <c r="AQ141" s="3" cm="1">
        <f t="array" aca="1" ref="AQ141" ca="1">OFFSET(Table7[[#This Row],[Investment Increase]],0,-1)-SUM($J$2:$J$52*($E$2:$E$52=$Q$31))</f>
        <v>927.05664400000023</v>
      </c>
    </row>
    <row r="142" spans="22:43" x14ac:dyDescent="0.45">
      <c r="V142" s="9">
        <v>44540</v>
      </c>
      <c r="W142" s="3">
        <v>197.46</v>
      </c>
      <c r="X142" s="2" cm="1">
        <f t="array" ref="X142">SUM($F$2:$F$52*($C$2:$C$52=$Q$2))</f>
        <v>3.9319999999999999</v>
      </c>
      <c r="Y142" s="3">
        <f t="shared" si="12"/>
        <v>776.41272000000004</v>
      </c>
      <c r="Z142" s="3">
        <v>188.21</v>
      </c>
      <c r="AA142" s="2" cm="1">
        <f t="array" ref="AA142">SUM($F$2:$F$52*($C$2:$C$52=$Q$3))</f>
        <v>5.8030999999999997</v>
      </c>
      <c r="AB142" s="3">
        <f t="shared" si="13"/>
        <v>1092.2014509999999</v>
      </c>
      <c r="AC142" s="3">
        <v>20.37</v>
      </c>
      <c r="AD142" s="2" cm="1">
        <f t="array" ref="AD142">SUM($F$2:$F$52*($C$2:$C$52=$Q$4))</f>
        <v>21.37</v>
      </c>
      <c r="AE142" s="3">
        <f t="shared" si="14"/>
        <v>435.30690000000004</v>
      </c>
      <c r="AF142" s="3">
        <v>16.68</v>
      </c>
      <c r="AG142" s="2" cm="1">
        <f t="array" ref="AG142">SUM($F$2:$F$52*($C$2:$C$52=$Q$5))</f>
        <v>43.772999999999996</v>
      </c>
      <c r="AH142" s="3">
        <f t="shared" si="15"/>
        <v>730.1336399999999</v>
      </c>
      <c r="AI142" s="3">
        <v>24.36</v>
      </c>
      <c r="AJ142" s="2" cm="1">
        <f t="array" ref="AJ142">SUM($F$2:$F$52*($C$2:$C$52=$Q$6))</f>
        <v>0</v>
      </c>
      <c r="AK142" s="3">
        <f t="shared" si="16"/>
        <v>0</v>
      </c>
      <c r="AL142" s="3">
        <v>15.84</v>
      </c>
      <c r="AM142" s="2" cm="1">
        <f t="array" ref="AM142">SUM($F$2:$F$52*($C$2:$C$52=$Q$8))</f>
        <v>0</v>
      </c>
      <c r="AN142" s="3">
        <f t="shared" si="17"/>
        <v>0</v>
      </c>
      <c r="AO142" s="3">
        <f>SUM(J2:J52)</f>
        <v>1378.5200000000004</v>
      </c>
      <c r="AP1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4412.5747110000002</v>
      </c>
      <c r="AQ142" s="3" cm="1">
        <f t="array" aca="1" ref="AQ142" ca="1">OFFSET(Table7[[#This Row],[Investment Increase]],0,-1)-SUM($J$2:$J$52*($E$2:$E$52=$Q$31))</f>
        <v>973.57471100000021</v>
      </c>
    </row>
    <row r="143" spans="22:43" x14ac:dyDescent="0.45">
      <c r="V143" s="9">
        <v>44539</v>
      </c>
      <c r="W143" s="3">
        <v>196.02</v>
      </c>
      <c r="X143" s="2" cm="1">
        <f t="array" ref="X143">SUM($F$2:$F$52*($C$2:$C$52=$Q$2))</f>
        <v>3.9319999999999999</v>
      </c>
      <c r="Y143" s="3">
        <f t="shared" si="12"/>
        <v>770.75063999999998</v>
      </c>
      <c r="Z143" s="3">
        <v>187.83</v>
      </c>
      <c r="AA143" s="2" cm="1">
        <f t="array" ref="AA143">SUM($F$2:$F$52*($C$2:$C$52=$Q$3))</f>
        <v>5.8030999999999997</v>
      </c>
      <c r="AB143" s="3">
        <f t="shared" si="13"/>
        <v>1089.996273</v>
      </c>
      <c r="AC143" s="3">
        <v>20.25</v>
      </c>
      <c r="AD143" s="2" cm="1">
        <f t="array" ref="AD143">SUM($F$2:$F$52*($C$2:$C$52=$Q$4))</f>
        <v>21.37</v>
      </c>
      <c r="AE143" s="3">
        <f t="shared" si="14"/>
        <v>432.74250000000001</v>
      </c>
      <c r="AF143" s="3">
        <v>16.54</v>
      </c>
      <c r="AG143" s="2" cm="1">
        <f t="array" ref="AG143">SUM($F$2:$F$52*($C$2:$C$52=$Q$5))</f>
        <v>43.772999999999996</v>
      </c>
      <c r="AH143" s="3">
        <f t="shared" si="15"/>
        <v>724.00541999999984</v>
      </c>
      <c r="AI143" s="3">
        <v>24.12</v>
      </c>
      <c r="AJ143" s="2" cm="1">
        <f t="array" ref="AJ143">SUM($F$2:$F$52*($C$2:$C$52=$Q$6))</f>
        <v>0</v>
      </c>
      <c r="AK143" s="3">
        <f t="shared" si="16"/>
        <v>0</v>
      </c>
      <c r="AL143" s="3">
        <v>15.8</v>
      </c>
      <c r="AM143" s="2" cm="1">
        <f t="array" ref="AM143">SUM($F$2:$F$52*($C$2:$C$52=$Q$8))</f>
        <v>0</v>
      </c>
      <c r="AN143" s="3">
        <f t="shared" si="17"/>
        <v>0</v>
      </c>
      <c r="AO143" s="3">
        <f>SUM(J2:J52)</f>
        <v>1378.5200000000004</v>
      </c>
      <c r="AP1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4396.0148330000002</v>
      </c>
      <c r="AQ143" s="3" cm="1">
        <f t="array" aca="1" ref="AQ143" ca="1">OFFSET(Table7[[#This Row],[Investment Increase]],0,-1)-SUM($J$2:$J$52*($E$2:$E$52=$Q$31))</f>
        <v>957.01483300000018</v>
      </c>
    </row>
    <row r="144" spans="22:43" x14ac:dyDescent="0.45">
      <c r="V144" s="9">
        <v>44538</v>
      </c>
      <c r="W144" s="3">
        <v>199.4</v>
      </c>
      <c r="X144" s="2" cm="1">
        <f t="array" ref="X144">SUM($F$2:$F$52*($C$2:$C$52=$Q$2))</f>
        <v>3.9319999999999999</v>
      </c>
      <c r="Y144" s="3">
        <f t="shared" si="12"/>
        <v>784.04079999999999</v>
      </c>
      <c r="Z144" s="3">
        <v>191.28</v>
      </c>
      <c r="AA144" s="2" cm="1">
        <f t="array" ref="AA144">SUM($F$2:$F$52*($C$2:$C$52=$Q$3))</f>
        <v>5.8030999999999997</v>
      </c>
      <c r="AB144" s="3">
        <f t="shared" si="13"/>
        <v>1110.0169679999999</v>
      </c>
      <c r="AC144" s="3">
        <v>20.52</v>
      </c>
      <c r="AD144" s="2" cm="1">
        <f t="array" ref="AD144">SUM($F$2:$F$52*($C$2:$C$52=$Q$4))</f>
        <v>21.37</v>
      </c>
      <c r="AE144" s="3">
        <f t="shared" si="14"/>
        <v>438.51240000000001</v>
      </c>
      <c r="AF144" s="3">
        <v>16.68</v>
      </c>
      <c r="AG144" s="2" cm="1">
        <f t="array" ref="AG144">SUM($F$2:$F$52*($C$2:$C$52=$Q$5))</f>
        <v>43.772999999999996</v>
      </c>
      <c r="AH144" s="3">
        <f t="shared" si="15"/>
        <v>730.1336399999999</v>
      </c>
      <c r="AI144" s="3">
        <v>24.29</v>
      </c>
      <c r="AJ144" s="2" cm="1">
        <f t="array" ref="AJ144">SUM($F$2:$F$52*($C$2:$C$52=$Q$6))</f>
        <v>0</v>
      </c>
      <c r="AK144" s="3">
        <f t="shared" si="16"/>
        <v>0</v>
      </c>
      <c r="AL144" s="3">
        <v>15.93</v>
      </c>
      <c r="AM144" s="2" cm="1">
        <f t="array" ref="AM144">SUM($F$2:$F$52*($C$2:$C$52=$Q$8))</f>
        <v>0</v>
      </c>
      <c r="AN144" s="3">
        <f t="shared" si="17"/>
        <v>0</v>
      </c>
      <c r="AO144" s="3">
        <f>SUM(J2:J52)</f>
        <v>1378.5200000000004</v>
      </c>
      <c r="AP1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4441.2238080000006</v>
      </c>
      <c r="AQ144" s="3" cm="1">
        <f t="array" aca="1" ref="AQ144" ca="1">OFFSET(Table7[[#This Row],[Investment Increase]],0,-1)-SUM($J$2:$J$52*($E$2:$E$52=$Q$31))</f>
        <v>1002.2238080000006</v>
      </c>
    </row>
    <row r="145" spans="22:43" x14ac:dyDescent="0.45">
      <c r="V145" s="9">
        <v>44537</v>
      </c>
      <c r="W145" s="3">
        <v>198.14</v>
      </c>
      <c r="X145" s="2" cm="1">
        <f t="array" ref="X145">SUM($F$2:$F$52*($C$2:$C$52=$Q$2))</f>
        <v>3.9319999999999999</v>
      </c>
      <c r="Y145" s="3">
        <f t="shared" si="12"/>
        <v>779.08647999999994</v>
      </c>
      <c r="Z145" s="3">
        <v>189.79</v>
      </c>
      <c r="AA145" s="2" cm="1">
        <f t="array" ref="AA145">SUM($F$2:$F$52*($C$2:$C$52=$Q$3))</f>
        <v>5.8030999999999997</v>
      </c>
      <c r="AB145" s="3">
        <f t="shared" si="13"/>
        <v>1101.3703489999998</v>
      </c>
      <c r="AC145" s="3">
        <v>20.350000000000001</v>
      </c>
      <c r="AD145" s="2" cm="1">
        <f t="array" ref="AD145">SUM($F$2:$F$52*($C$2:$C$52=$Q$4))</f>
        <v>21.37</v>
      </c>
      <c r="AE145" s="3">
        <f t="shared" si="14"/>
        <v>434.87950000000006</v>
      </c>
      <c r="AF145" s="3">
        <v>16.61</v>
      </c>
      <c r="AG145" s="2" cm="1">
        <f t="array" ref="AG145">SUM($F$2:$F$52*($C$2:$C$52=$Q$5))</f>
        <v>43.772999999999996</v>
      </c>
      <c r="AH145" s="3">
        <f t="shared" si="15"/>
        <v>727.06952999999987</v>
      </c>
      <c r="AI145" s="3">
        <v>24.23</v>
      </c>
      <c r="AJ145" s="2" cm="1">
        <f t="array" ref="AJ145">SUM($F$2:$F$52*($C$2:$C$52=$Q$6))</f>
        <v>0</v>
      </c>
      <c r="AK145" s="3">
        <f t="shared" si="16"/>
        <v>0</v>
      </c>
      <c r="AL145" s="3">
        <v>15.87</v>
      </c>
      <c r="AM145" s="2" cm="1">
        <f t="array" ref="AM145">SUM($F$2:$F$52*($C$2:$C$52=$Q$8))</f>
        <v>0</v>
      </c>
      <c r="AN145" s="3">
        <f t="shared" si="17"/>
        <v>0</v>
      </c>
      <c r="AO145" s="3">
        <f>SUM(J2:J52)</f>
        <v>1378.5200000000004</v>
      </c>
      <c r="AP1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4420.9258589999999</v>
      </c>
      <c r="AQ145" s="3" cm="1">
        <f t="array" aca="1" ref="AQ145" ca="1">OFFSET(Table7[[#This Row],[Investment Increase]],0,-1)-SUM($J$2:$J$52*($E$2:$E$52=$Q$31))</f>
        <v>981.92585899999995</v>
      </c>
    </row>
    <row r="146" spans="22:43" x14ac:dyDescent="0.45">
      <c r="V146" s="9">
        <v>44536</v>
      </c>
      <c r="W146" s="3">
        <v>192.33</v>
      </c>
      <c r="X146" s="2" cm="1">
        <f t="array" ref="X146">SUM($F$2:$F$52*($C$2:$C$52=$Q$2))</f>
        <v>3.9319999999999999</v>
      </c>
      <c r="Y146" s="3">
        <f t="shared" si="12"/>
        <v>756.24156000000005</v>
      </c>
      <c r="Z146" s="3">
        <v>183.57</v>
      </c>
      <c r="AA146" s="2" cm="1">
        <f t="array" ref="AA146">SUM($F$2:$F$52*($C$2:$C$52=$Q$3))</f>
        <v>5.8030999999999997</v>
      </c>
      <c r="AB146" s="3">
        <f t="shared" si="13"/>
        <v>1065.2750669999998</v>
      </c>
      <c r="AC146" s="3">
        <v>19.7</v>
      </c>
      <c r="AD146" s="2" cm="1">
        <f t="array" ref="AD146">SUM($F$2:$F$52*($C$2:$C$52=$Q$4))</f>
        <v>21.37</v>
      </c>
      <c r="AE146" s="3">
        <f t="shared" si="14"/>
        <v>420.98900000000003</v>
      </c>
      <c r="AF146" s="3">
        <v>16.260000000000002</v>
      </c>
      <c r="AG146" s="2" cm="1">
        <f t="array" ref="AG146">SUM($F$2:$F$52*($C$2:$C$52=$Q$5))</f>
        <v>43.772999999999996</v>
      </c>
      <c r="AH146" s="3">
        <f t="shared" si="15"/>
        <v>711.74897999999996</v>
      </c>
      <c r="AI146" s="3">
        <v>23.74</v>
      </c>
      <c r="AJ146" s="2" cm="1">
        <f t="array" ref="AJ146">SUM($F$2:$F$52*($C$2:$C$52=$Q$6))</f>
        <v>0</v>
      </c>
      <c r="AK146" s="3">
        <f t="shared" si="16"/>
        <v>0</v>
      </c>
      <c r="AL146" s="3">
        <v>15.51</v>
      </c>
      <c r="AM146" s="2" cm="1">
        <f t="array" ref="AM146">SUM($F$2:$F$52*($C$2:$C$52=$Q$8))</f>
        <v>0</v>
      </c>
      <c r="AN146" s="3">
        <f t="shared" si="17"/>
        <v>0</v>
      </c>
      <c r="AO146" s="3">
        <f>SUM(J2:J52)</f>
        <v>1378.5200000000004</v>
      </c>
      <c r="AP1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4332.7746070000003</v>
      </c>
      <c r="AQ146" s="3" cm="1">
        <f t="array" aca="1" ref="AQ146" ca="1">OFFSET(Table7[[#This Row],[Investment Increase]],0,-1)-SUM($J$2:$J$52*($E$2:$E$52=$Q$31))</f>
        <v>893.77460700000029</v>
      </c>
    </row>
    <row r="147" spans="22:43" x14ac:dyDescent="0.45">
      <c r="V147" s="9">
        <v>44533</v>
      </c>
      <c r="W147" s="3">
        <v>190.54</v>
      </c>
      <c r="X147" s="2" cm="1">
        <f t="array" ref="X147">SUM($F$2:$F$52*($C$2:$C$52=$Q$2))</f>
        <v>3.9319999999999999</v>
      </c>
      <c r="Y147" s="3">
        <f t="shared" si="12"/>
        <v>749.20327999999995</v>
      </c>
      <c r="Z147" s="3">
        <v>181.62</v>
      </c>
      <c r="AA147" s="2" cm="1">
        <f t="array" ref="AA147">SUM($F$2:$F$52*($C$2:$C$52=$Q$3))</f>
        <v>5.8030999999999997</v>
      </c>
      <c r="AB147" s="3">
        <f t="shared" si="13"/>
        <v>1053.959022</v>
      </c>
      <c r="AC147" s="3">
        <v>19.5</v>
      </c>
      <c r="AD147" s="2" cm="1">
        <f t="array" ref="AD147">SUM($F$2:$F$52*($C$2:$C$52=$Q$4))</f>
        <v>21.37</v>
      </c>
      <c r="AE147" s="3">
        <f t="shared" si="14"/>
        <v>416.71500000000003</v>
      </c>
      <c r="AF147" s="3">
        <v>16.079999999999998</v>
      </c>
      <c r="AG147" s="2" cm="1">
        <f t="array" ref="AG147">SUM($F$2:$F$52*($C$2:$C$52=$Q$5))</f>
        <v>43.772999999999996</v>
      </c>
      <c r="AH147" s="3">
        <f t="shared" si="15"/>
        <v>703.86983999999984</v>
      </c>
      <c r="AI147" s="3">
        <v>23.46</v>
      </c>
      <c r="AJ147" s="2" cm="1">
        <f t="array" ref="AJ147">SUM($F$2:$F$52*($C$2:$C$52=$Q$6))</f>
        <v>0</v>
      </c>
      <c r="AK147" s="3">
        <f t="shared" si="16"/>
        <v>0</v>
      </c>
      <c r="AL147" s="3">
        <v>15.29</v>
      </c>
      <c r="AM147" s="2" cm="1">
        <f t="array" ref="AM147">SUM($F$2:$F$52*($C$2:$C$52=$Q$8))</f>
        <v>0</v>
      </c>
      <c r="AN147" s="3">
        <f t="shared" si="17"/>
        <v>0</v>
      </c>
      <c r="AO147" s="3">
        <f>SUM(J2:J52)</f>
        <v>1378.5200000000004</v>
      </c>
      <c r="AP1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4302.2671420000006</v>
      </c>
      <c r="AQ147" s="3" cm="1">
        <f t="array" aca="1" ref="AQ147" ca="1">OFFSET(Table7[[#This Row],[Investment Increase]],0,-1)-SUM($J$2:$J$52*($E$2:$E$52=$Q$31))</f>
        <v>863.2671420000006</v>
      </c>
    </row>
    <row r="148" spans="22:43" x14ac:dyDescent="0.45">
      <c r="V148" s="9">
        <v>44532</v>
      </c>
      <c r="W148" s="3">
        <v>194.26</v>
      </c>
      <c r="X148" s="2" cm="1">
        <f t="array" ref="X148">SUM($F$2:$F$50*($C$2:$C$50=$Q$2))</f>
        <v>3.9319999999999999</v>
      </c>
      <c r="Y148" s="3">
        <f t="shared" si="12"/>
        <v>763.83031999999992</v>
      </c>
      <c r="Z148" s="3">
        <v>185.34</v>
      </c>
      <c r="AA148" s="2" cm="1">
        <f t="array" ref="AA148">SUM($F$2:$F$50*($C$2:$C$50=$Q$3))</f>
        <v>5.8030999999999997</v>
      </c>
      <c r="AB148" s="3">
        <f t="shared" si="13"/>
        <v>1075.546554</v>
      </c>
      <c r="AC148" s="3">
        <v>19.86</v>
      </c>
      <c r="AD148" s="2" cm="1">
        <f t="array" ref="AD148">SUM($F$2:$F$50*($C$2:$C$50=$Q$4))</f>
        <v>21.37</v>
      </c>
      <c r="AE148" s="3">
        <f t="shared" si="14"/>
        <v>424.40820000000002</v>
      </c>
      <c r="AF148" s="3">
        <v>16.399999999999999</v>
      </c>
      <c r="AG148" s="2" cm="1">
        <f t="array" ref="AG148">SUM($F$2:$F$50*($C$2:$C$50=$Q$5))</f>
        <v>43.272999999999996</v>
      </c>
      <c r="AH148" s="3">
        <f t="shared" si="15"/>
        <v>709.67719999999986</v>
      </c>
      <c r="AI148" s="3">
        <v>23.67</v>
      </c>
      <c r="AJ148" s="2" cm="1">
        <f t="array" ref="AJ148">SUM($F$2:$F$50*($C$2:$C$50=$Q$6))</f>
        <v>0</v>
      </c>
      <c r="AK148" s="3">
        <f t="shared" si="16"/>
        <v>0</v>
      </c>
      <c r="AL148" s="3">
        <v>15.97</v>
      </c>
      <c r="AM148" s="2" cm="1">
        <f t="array" ref="AM148">SUM($F$2:$F$50*($C$2:$C$50=$Q$8))</f>
        <v>0</v>
      </c>
      <c r="AN148" s="3">
        <f t="shared" si="17"/>
        <v>0</v>
      </c>
      <c r="AO148" s="3">
        <f>SUM(J2:J50)</f>
        <v>1362.5000000000005</v>
      </c>
      <c r="AP1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4335.9622739999995</v>
      </c>
      <c r="AQ148" s="3" cm="1">
        <f t="array" aca="1" ref="AQ148" ca="1">OFFSET(Table7[[#This Row],[Investment Increase]],0,-1)-SUM($J$2:$J$50*($E$2:$E$50=$Q$31))</f>
        <v>896.96227399999952</v>
      </c>
    </row>
    <row r="149" spans="22:43" x14ac:dyDescent="0.45">
      <c r="V149" s="9">
        <v>44531</v>
      </c>
      <c r="W149" s="3">
        <v>192.63</v>
      </c>
      <c r="X149" s="2" cm="1">
        <f t="array" ref="X149">SUM($F$2:$F$50*($C$2:$C$50=$Q$2))</f>
        <v>3.9319999999999999</v>
      </c>
      <c r="Y149" s="3">
        <f t="shared" si="12"/>
        <v>757.42115999999999</v>
      </c>
      <c r="Z149" s="3">
        <v>183.35</v>
      </c>
      <c r="AA149" s="2" cm="1">
        <f t="array" ref="AA149">SUM($F$2:$F$50*($C$2:$C$50=$Q$3))</f>
        <v>5.8030999999999997</v>
      </c>
      <c r="AB149" s="3">
        <f t="shared" si="13"/>
        <v>1063.9983849999999</v>
      </c>
      <c r="AC149" s="3">
        <v>19.72</v>
      </c>
      <c r="AD149" s="2" cm="1">
        <f t="array" ref="AD149">SUM($F$2:$F$50*($C$2:$C$50=$Q$4))</f>
        <v>21.37</v>
      </c>
      <c r="AE149" s="3">
        <f t="shared" si="14"/>
        <v>421.41640000000001</v>
      </c>
      <c r="AF149" s="3">
        <v>16.170000000000002</v>
      </c>
      <c r="AG149" s="2" cm="1">
        <f t="array" ref="AG149">SUM($F$2:$F$50*($C$2:$C$50=$Q$5))</f>
        <v>43.272999999999996</v>
      </c>
      <c r="AH149" s="3">
        <f t="shared" si="15"/>
        <v>699.72441000000003</v>
      </c>
      <c r="AI149" s="3">
        <v>23.35</v>
      </c>
      <c r="AJ149" s="2" cm="1">
        <f t="array" ref="AJ149">SUM($F$2:$F$50*($C$2:$C$50=$Q$6))</f>
        <v>0</v>
      </c>
      <c r="AK149" s="3">
        <f t="shared" si="16"/>
        <v>0</v>
      </c>
      <c r="AL149" s="3">
        <v>15.58</v>
      </c>
      <c r="AM149" s="2" cm="1">
        <f t="array" ref="AM149">SUM($F$2:$F$50*($C$2:$C$50=$Q$8))</f>
        <v>0</v>
      </c>
      <c r="AN149" s="3">
        <f t="shared" si="17"/>
        <v>0</v>
      </c>
      <c r="AO149" s="3">
        <f>SUM(J2:J50)</f>
        <v>1362.5000000000005</v>
      </c>
      <c r="AP1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4305.0603549999996</v>
      </c>
      <c r="AQ149" s="3" cm="1">
        <f t="array" aca="1" ref="AQ149" ca="1">OFFSET(Table7[[#This Row],[Investment Increase]],0,-1)-SUM($J$2:$J$50*($E$2:$E$50=$Q$31))</f>
        <v>866.06035499999962</v>
      </c>
    </row>
    <row r="150" spans="22:43" x14ac:dyDescent="0.45">
      <c r="V150" s="9">
        <v>44530</v>
      </c>
      <c r="W150" s="3">
        <v>196.19</v>
      </c>
      <c r="X150" s="2" cm="1">
        <f t="array" ref="X150">SUM($F$2:$F$50*($C$2:$C$50=$Q$2))</f>
        <v>3.9319999999999999</v>
      </c>
      <c r="Y150" s="3">
        <f t="shared" si="12"/>
        <v>771.41908000000001</v>
      </c>
      <c r="Z150" s="3">
        <v>188.3</v>
      </c>
      <c r="AA150" s="2" cm="1">
        <f t="array" ref="AA150">SUM($F$2:$F$50*($C$2:$C$50=$Q$3))</f>
        <v>5.8030999999999997</v>
      </c>
      <c r="AB150" s="3">
        <f t="shared" si="13"/>
        <v>1092.7237299999999</v>
      </c>
      <c r="AC150" s="3">
        <v>20.05</v>
      </c>
      <c r="AD150" s="2" cm="1">
        <f t="array" ref="AD150">SUM($F$2:$F$50*($C$2:$C$50=$Q$4))</f>
        <v>21.37</v>
      </c>
      <c r="AE150" s="3">
        <f t="shared" si="14"/>
        <v>428.46850000000006</v>
      </c>
      <c r="AF150" s="3">
        <v>16.39</v>
      </c>
      <c r="AG150" s="2" cm="1">
        <f t="array" ref="AG150">SUM($F$2:$F$50*($C$2:$C$50=$Q$5))</f>
        <v>43.272999999999996</v>
      </c>
      <c r="AH150" s="3">
        <f t="shared" si="15"/>
        <v>709.24446999999998</v>
      </c>
      <c r="AI150" s="3">
        <v>23.6</v>
      </c>
      <c r="AJ150" s="2" cm="1">
        <f t="array" ref="AJ150">SUM($F$2:$F$50*($C$2:$C$50=$Q$6))</f>
        <v>0</v>
      </c>
      <c r="AK150" s="3">
        <f t="shared" si="16"/>
        <v>0</v>
      </c>
      <c r="AL150" s="3">
        <v>15.77</v>
      </c>
      <c r="AM150" s="2" cm="1">
        <f t="array" ref="AM150">SUM($F$2:$F$50*($C$2:$C$50=$Q$8))</f>
        <v>0</v>
      </c>
      <c r="AN150" s="3">
        <f t="shared" si="17"/>
        <v>0</v>
      </c>
      <c r="AO150" s="3">
        <f>SUM(J2:J50)</f>
        <v>1362.5000000000005</v>
      </c>
      <c r="AP1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4364.3557799999999</v>
      </c>
      <c r="AQ150" s="3" cm="1">
        <f t="array" aca="1" ref="AQ150" ca="1">OFFSET(Table7[[#This Row],[Investment Increase]],0,-1)-SUM($J$2:$J$50*($E$2:$E$50=$Q$31))</f>
        <v>925.35577999999987</v>
      </c>
    </row>
    <row r="151" spans="22:43" x14ac:dyDescent="0.45">
      <c r="V151" s="9">
        <v>44529</v>
      </c>
      <c r="W151" s="3">
        <v>199.26</v>
      </c>
      <c r="X151" s="2" cm="1">
        <f t="array" ref="X151">SUM($F$2:$F$50*($C$2:$C$50=$Q$2))</f>
        <v>3.9319999999999999</v>
      </c>
      <c r="Y151" s="3">
        <f t="shared" si="12"/>
        <v>783.49032</v>
      </c>
      <c r="Z151" s="3">
        <v>191.82</v>
      </c>
      <c r="AA151" s="2" cm="1">
        <f t="array" ref="AA151">SUM($F$2:$F$50*($C$2:$C$50=$Q$3))</f>
        <v>5.8030999999999997</v>
      </c>
      <c r="AB151" s="3">
        <f t="shared" si="13"/>
        <v>1113.1506419999998</v>
      </c>
      <c r="AC151" s="3">
        <v>20.41</v>
      </c>
      <c r="AD151" s="2" cm="1">
        <f t="array" ref="AD151">SUM($F$2:$F$50*($C$2:$C$50=$Q$4))</f>
        <v>21.37</v>
      </c>
      <c r="AE151" s="3">
        <f t="shared" si="14"/>
        <v>436.1617</v>
      </c>
      <c r="AF151" s="3">
        <v>16.71</v>
      </c>
      <c r="AG151" s="2" cm="1">
        <f t="array" ref="AG151">SUM($F$2:$F$50*($C$2:$C$50=$Q$5))</f>
        <v>43.272999999999996</v>
      </c>
      <c r="AH151" s="3">
        <f t="shared" si="15"/>
        <v>723.09182999999996</v>
      </c>
      <c r="AI151" s="3">
        <v>24.05</v>
      </c>
      <c r="AJ151" s="2" cm="1">
        <f t="array" ref="AJ151">SUM($F$2:$F$50*($C$2:$C$50=$Q$6))</f>
        <v>0</v>
      </c>
      <c r="AK151" s="3">
        <f t="shared" si="16"/>
        <v>0</v>
      </c>
      <c r="AL151" s="3">
        <v>16.13</v>
      </c>
      <c r="AM151" s="2" cm="1">
        <f t="array" ref="AM151">SUM($F$2:$F$50*($C$2:$C$50=$Q$8))</f>
        <v>0</v>
      </c>
      <c r="AN151" s="3">
        <f t="shared" si="17"/>
        <v>0</v>
      </c>
      <c r="AO151" s="3">
        <f>SUM(J2:J50)</f>
        <v>1362.5000000000005</v>
      </c>
      <c r="AP1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4418.3944920000004</v>
      </c>
      <c r="AQ151" s="3" cm="1">
        <f t="array" aca="1" ref="AQ151" ca="1">OFFSET(Table7[[#This Row],[Investment Increase]],0,-1)-SUM($J$2:$J$50*($E$2:$E$50=$Q$31))</f>
        <v>979.39449200000035</v>
      </c>
    </row>
    <row r="152" spans="22:43" x14ac:dyDescent="0.45">
      <c r="V152" s="9">
        <v>44526</v>
      </c>
      <c r="W152" s="3">
        <v>195.57</v>
      </c>
      <c r="X152" s="2" cm="1">
        <f t="array" ref="X152">SUM($F$2:$F$50*($C$2:$C$50=$Q$2))</f>
        <v>3.9319999999999999</v>
      </c>
      <c r="Y152" s="3">
        <f t="shared" si="12"/>
        <v>768.98123999999996</v>
      </c>
      <c r="Z152" s="3">
        <v>188.34</v>
      </c>
      <c r="AA152" s="2" cm="1">
        <f t="array" ref="AA152">SUM($F$2:$F$50*($C$2:$C$50=$Q$3))</f>
        <v>5.8030999999999997</v>
      </c>
      <c r="AB152" s="3">
        <f t="shared" si="13"/>
        <v>1092.955854</v>
      </c>
      <c r="AC152" s="3">
        <v>20.059999999999999</v>
      </c>
      <c r="AD152" s="2" cm="1">
        <f t="array" ref="AD152">SUM($F$2:$F$50*($C$2:$C$50=$Q$4))</f>
        <v>21.37</v>
      </c>
      <c r="AE152" s="3">
        <f t="shared" si="14"/>
        <v>428.68219999999997</v>
      </c>
      <c r="AF152" s="3">
        <v>16.489999999999998</v>
      </c>
      <c r="AG152" s="2" cm="1">
        <f t="array" ref="AG152">SUM($F$2:$F$50*($C$2:$C$50=$Q$5))</f>
        <v>43.272999999999996</v>
      </c>
      <c r="AH152" s="3">
        <f t="shared" si="15"/>
        <v>713.5717699999999</v>
      </c>
      <c r="AI152" s="3">
        <v>23.76</v>
      </c>
      <c r="AJ152" s="2" cm="1">
        <f t="array" ref="AJ152">SUM($F$2:$F$50*($C$2:$C$50=$Q$6))</f>
        <v>0</v>
      </c>
      <c r="AK152" s="3">
        <f t="shared" si="16"/>
        <v>0</v>
      </c>
      <c r="AL152" s="3">
        <v>16</v>
      </c>
      <c r="AM152" s="2" cm="1">
        <f t="array" ref="AM152">SUM($F$2:$F$50*($C$2:$C$50=$Q$8))</f>
        <v>0</v>
      </c>
      <c r="AN152" s="3">
        <f t="shared" si="17"/>
        <v>0</v>
      </c>
      <c r="AO152" s="3">
        <f>SUM(J2:J50)</f>
        <v>1362.5000000000005</v>
      </c>
      <c r="AP1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4366.6910640000006</v>
      </c>
      <c r="AQ152" s="3" cm="1">
        <f t="array" aca="1" ref="AQ152" ca="1">OFFSET(Table7[[#This Row],[Investment Increase]],0,-1)-SUM($J$2:$J$50*($E$2:$E$50=$Q$31))</f>
        <v>927.69106400000055</v>
      </c>
    </row>
    <row r="153" spans="22:43" x14ac:dyDescent="0.45">
      <c r="V153" s="9">
        <v>44524</v>
      </c>
      <c r="W153" s="3">
        <v>200.06</v>
      </c>
      <c r="X153" s="2" cm="1">
        <f t="array" ref="X153">SUM($F$2:$F$50*($C$2:$C$50=$Q$2))</f>
        <v>3.9319999999999999</v>
      </c>
      <c r="Y153" s="3">
        <f t="shared" si="12"/>
        <v>786.63591999999994</v>
      </c>
      <c r="Z153" s="3">
        <v>192.55</v>
      </c>
      <c r="AA153" s="2" cm="1">
        <f t="array" ref="AA153">SUM($F$2:$F$50*($C$2:$C$50=$Q$3))</f>
        <v>5.8030999999999997</v>
      </c>
      <c r="AB153" s="3">
        <f t="shared" si="13"/>
        <v>1117.3869050000001</v>
      </c>
      <c r="AC153" s="3">
        <v>20.52</v>
      </c>
      <c r="AD153" s="2" cm="1">
        <f t="array" ref="AD153">SUM($F$2:$F$50*($C$2:$C$50=$Q$4))</f>
        <v>21.37</v>
      </c>
      <c r="AE153" s="3">
        <f t="shared" si="14"/>
        <v>438.51240000000001</v>
      </c>
      <c r="AF153" s="3">
        <v>16.86</v>
      </c>
      <c r="AG153" s="2" cm="1">
        <f t="array" ref="AG153">SUM($F$2:$F$50*($C$2:$C$50=$Q$5))</f>
        <v>43.272999999999996</v>
      </c>
      <c r="AH153" s="3">
        <f t="shared" si="15"/>
        <v>729.58277999999996</v>
      </c>
      <c r="AI153" s="3">
        <v>24.31</v>
      </c>
      <c r="AJ153" s="2" cm="1">
        <f t="array" ref="AJ153">SUM($F$2:$F$50*($C$2:$C$50=$Q$6))</f>
        <v>0</v>
      </c>
      <c r="AK153" s="3">
        <f t="shared" si="16"/>
        <v>0</v>
      </c>
      <c r="AL153" s="3">
        <v>16.55</v>
      </c>
      <c r="AM153" s="2" cm="1">
        <f t="array" ref="AM153">SUM($F$2:$F$50*($C$2:$C$50=$Q$8))</f>
        <v>0</v>
      </c>
      <c r="AN153" s="3">
        <f t="shared" si="17"/>
        <v>0</v>
      </c>
      <c r="AO153" s="3">
        <f>SUM(J2:J50)</f>
        <v>1362.5000000000005</v>
      </c>
      <c r="AP1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4434.6180050000003</v>
      </c>
      <c r="AQ153" s="3" cm="1">
        <f t="array" aca="1" ref="AQ153" ca="1">OFFSET(Table7[[#This Row],[Investment Increase]],0,-1)-SUM($J$2:$J$50*($E$2:$E$50=$Q$31))</f>
        <v>995.61800500000027</v>
      </c>
    </row>
    <row r="154" spans="22:43" x14ac:dyDescent="0.45">
      <c r="V154" s="9">
        <v>44523</v>
      </c>
      <c r="W154" s="3">
        <v>199.19</v>
      </c>
      <c r="X154" s="2" cm="1">
        <f t="array" ref="X154">SUM($F$2:$F$50*($C$2:$C$50=$Q$2))</f>
        <v>3.9319999999999999</v>
      </c>
      <c r="Y154" s="3">
        <f t="shared" si="12"/>
        <v>783.21507999999994</v>
      </c>
      <c r="Z154" s="3">
        <v>191.31</v>
      </c>
      <c r="AA154" s="2" cm="1">
        <f t="array" ref="AA154">SUM($F$2:$F$50*($C$2:$C$50=$Q$3))</f>
        <v>5.8030999999999997</v>
      </c>
      <c r="AB154" s="3">
        <f t="shared" si="13"/>
        <v>1110.191061</v>
      </c>
      <c r="AC154" s="3">
        <v>20.43</v>
      </c>
      <c r="AD154" s="2" cm="1">
        <f t="array" ref="AD154">SUM($F$2:$F$50*($C$2:$C$50=$Q$4))</f>
        <v>21.37</v>
      </c>
      <c r="AE154" s="3">
        <f t="shared" si="14"/>
        <v>436.58910000000003</v>
      </c>
      <c r="AF154" s="3">
        <v>16.8</v>
      </c>
      <c r="AG154" s="2" cm="1">
        <f t="array" ref="AG154">SUM($F$2:$F$50*($C$2:$C$50=$Q$5))</f>
        <v>43.272999999999996</v>
      </c>
      <c r="AH154" s="3">
        <f t="shared" si="15"/>
        <v>726.9864</v>
      </c>
      <c r="AI154" s="3">
        <v>24.24</v>
      </c>
      <c r="AJ154" s="2" cm="1">
        <f t="array" ref="AJ154">SUM($F$2:$F$50*($C$2:$C$50=$Q$6))</f>
        <v>0</v>
      </c>
      <c r="AK154" s="3">
        <f t="shared" si="16"/>
        <v>0</v>
      </c>
      <c r="AL154" s="3">
        <v>16.55</v>
      </c>
      <c r="AM154" s="2" cm="1">
        <f t="array" ref="AM154">SUM($F$2:$F$50*($C$2:$C$50=$Q$8))</f>
        <v>0</v>
      </c>
      <c r="AN154" s="3">
        <f t="shared" si="17"/>
        <v>0</v>
      </c>
      <c r="AO154" s="3">
        <f>SUM(J2:J50)</f>
        <v>1362.5000000000005</v>
      </c>
      <c r="AP1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4419.4816410000003</v>
      </c>
      <c r="AQ154" s="3" cm="1">
        <f t="array" aca="1" ref="AQ154" ca="1">OFFSET(Table7[[#This Row],[Investment Increase]],0,-1)-SUM($J$2:$J$50*($E$2:$E$50=$Q$31))</f>
        <v>980.48164100000031</v>
      </c>
    </row>
    <row r="155" spans="22:43" x14ac:dyDescent="0.45">
      <c r="V155" s="9">
        <v>44522</v>
      </c>
      <c r="W155" s="3">
        <v>200.12</v>
      </c>
      <c r="X155" s="2" cm="1">
        <f t="array" ref="X155">SUM($F$2:$F$50*($C$2:$C$50=$Q$2))</f>
        <v>3.9319999999999999</v>
      </c>
      <c r="Y155" s="3">
        <f t="shared" si="12"/>
        <v>786.87184000000002</v>
      </c>
      <c r="Z155" s="3">
        <v>192.72</v>
      </c>
      <c r="AA155" s="2" cm="1">
        <f t="array" ref="AA155">SUM($F$2:$F$50*($C$2:$C$50=$Q$3))</f>
        <v>5.8030999999999997</v>
      </c>
      <c r="AB155" s="3">
        <f t="shared" si="13"/>
        <v>1118.3734319999999</v>
      </c>
      <c r="AC155" s="3">
        <v>20.52</v>
      </c>
      <c r="AD155" s="2" cm="1">
        <f t="array" ref="AD155">SUM($F$2:$F$50*($C$2:$C$50=$Q$4))</f>
        <v>21.37</v>
      </c>
      <c r="AE155" s="3">
        <f t="shared" si="14"/>
        <v>438.51240000000001</v>
      </c>
      <c r="AF155" s="3">
        <v>16.79</v>
      </c>
      <c r="AG155" s="2" cm="1">
        <f t="array" ref="AG155">SUM($F$2:$F$50*($C$2:$C$50=$Q$5))</f>
        <v>43.272999999999996</v>
      </c>
      <c r="AH155" s="3">
        <f t="shared" si="15"/>
        <v>726.5536699999999</v>
      </c>
      <c r="AI155" s="3">
        <v>24.17</v>
      </c>
      <c r="AJ155" s="2" cm="1">
        <f t="array" ref="AJ155">SUM($F$2:$F$50*($C$2:$C$50=$Q$6))</f>
        <v>0</v>
      </c>
      <c r="AK155" s="3">
        <f t="shared" si="16"/>
        <v>0</v>
      </c>
      <c r="AL155" s="3">
        <v>16.32</v>
      </c>
      <c r="AM155" s="2" cm="1">
        <f t="array" ref="AM155">SUM($F$2:$F$50*($C$2:$C$50=$Q$8))</f>
        <v>0</v>
      </c>
      <c r="AN155" s="3">
        <f t="shared" si="17"/>
        <v>0</v>
      </c>
      <c r="AO155" s="3">
        <f>SUM(J2:J50)</f>
        <v>1362.5000000000005</v>
      </c>
      <c r="AP1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4432.811342</v>
      </c>
      <c r="AQ155" s="3" cm="1">
        <f t="array" aca="1" ref="AQ155" ca="1">OFFSET(Table7[[#This Row],[Investment Increase]],0,-1)-SUM($J$2:$J$50*($E$2:$E$50=$Q$31))</f>
        <v>993.81134199999997</v>
      </c>
    </row>
    <row r="156" spans="22:43" x14ac:dyDescent="0.45">
      <c r="V156" s="9">
        <v>44519</v>
      </c>
      <c r="W156" s="3">
        <v>202.64</v>
      </c>
      <c r="X156" s="2" cm="1">
        <f t="array" ref="X156">SUM($F$2:$F$50*($C$2:$C$50=$Q$2))</f>
        <v>3.9319999999999999</v>
      </c>
      <c r="Y156" s="3">
        <f t="shared" si="12"/>
        <v>796.7804799999999</v>
      </c>
      <c r="Z156" s="3">
        <v>196.14</v>
      </c>
      <c r="AA156" s="2" cm="1">
        <f t="array" ref="AA156">SUM($F$2:$F$50*($C$2:$C$50=$Q$3))</f>
        <v>5.8030999999999997</v>
      </c>
      <c r="AB156" s="3">
        <f t="shared" si="13"/>
        <v>1138.2200339999999</v>
      </c>
      <c r="AC156" s="3">
        <v>20.92</v>
      </c>
      <c r="AD156" s="2" cm="1">
        <f t="array" ref="AD156">SUM($F$2:$F$50*($C$2:$C$50=$Q$4))</f>
        <v>21.37</v>
      </c>
      <c r="AE156" s="3">
        <f t="shared" si="14"/>
        <v>447.06040000000007</v>
      </c>
      <c r="AF156" s="3">
        <v>16.87</v>
      </c>
      <c r="AG156" s="2" cm="1">
        <f t="array" ref="AG156">SUM($F$2:$F$50*($C$2:$C$50=$Q$5))</f>
        <v>43.272999999999996</v>
      </c>
      <c r="AH156" s="3">
        <f t="shared" si="15"/>
        <v>730.01550999999995</v>
      </c>
      <c r="AI156" s="3">
        <v>24.23</v>
      </c>
      <c r="AJ156" s="2" cm="1">
        <f t="array" ref="AJ156">SUM($F$2:$F$50*($C$2:$C$50=$Q$6))</f>
        <v>0</v>
      </c>
      <c r="AK156" s="3">
        <f t="shared" si="16"/>
        <v>0</v>
      </c>
      <c r="AL156" s="3">
        <v>16.14</v>
      </c>
      <c r="AM156" s="2" cm="1">
        <f t="array" ref="AM156">SUM($F$2:$F$50*($C$2:$C$50=$Q$8))</f>
        <v>0</v>
      </c>
      <c r="AN156" s="3">
        <f t="shared" si="17"/>
        <v>0</v>
      </c>
      <c r="AO156" s="3">
        <f>SUM(J2:J50)</f>
        <v>1362.5000000000005</v>
      </c>
      <c r="AP1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4474.5764240000008</v>
      </c>
      <c r="AQ156" s="3" cm="1">
        <f t="array" aca="1" ref="AQ156" ca="1">OFFSET(Table7[[#This Row],[Investment Increase]],0,-1)-SUM($J$2:$J$50*($E$2:$E$50=$Q$31))</f>
        <v>1035.5764240000008</v>
      </c>
    </row>
    <row r="157" spans="22:43" x14ac:dyDescent="0.45">
      <c r="V157" s="9">
        <v>44518</v>
      </c>
      <c r="W157" s="3">
        <v>201.86</v>
      </c>
      <c r="X157" s="2" cm="1">
        <f t="array" ref="X157">SUM($F$2:$F$50*($C$2:$C$50=$Q$2))</f>
        <v>3.9319999999999999</v>
      </c>
      <c r="Y157" s="3">
        <f t="shared" si="12"/>
        <v>793.71352000000002</v>
      </c>
      <c r="Z157" s="3">
        <v>195.78</v>
      </c>
      <c r="AA157" s="2" cm="1">
        <f t="array" ref="AA157">SUM($F$2:$F$50*($C$2:$C$50=$Q$3))</f>
        <v>5.8030999999999997</v>
      </c>
      <c r="AB157" s="3">
        <f t="shared" si="13"/>
        <v>1136.1309179999998</v>
      </c>
      <c r="AC157" s="3">
        <v>20.87</v>
      </c>
      <c r="AD157" s="2" cm="1">
        <f t="array" ref="AD157">SUM($F$2:$F$50*($C$2:$C$50=$Q$4))</f>
        <v>21.37</v>
      </c>
      <c r="AE157" s="3">
        <f t="shared" si="14"/>
        <v>445.99190000000004</v>
      </c>
      <c r="AF157" s="3">
        <v>16.899999999999999</v>
      </c>
      <c r="AG157" s="2" cm="1">
        <f t="array" ref="AG157">SUM($F$2:$F$50*($C$2:$C$50=$Q$5))</f>
        <v>43.272999999999996</v>
      </c>
      <c r="AH157" s="3">
        <f t="shared" si="15"/>
        <v>731.31369999999993</v>
      </c>
      <c r="AI157" s="3">
        <v>24.31</v>
      </c>
      <c r="AJ157" s="2" cm="1">
        <f t="array" ref="AJ157">SUM($F$2:$F$50*($C$2:$C$50=$Q$6))</f>
        <v>0</v>
      </c>
      <c r="AK157" s="3">
        <f t="shared" si="16"/>
        <v>0</v>
      </c>
      <c r="AL157" s="3">
        <v>16.440000000000001</v>
      </c>
      <c r="AM157" s="2" cm="1">
        <f t="array" ref="AM157">SUM($F$2:$F$50*($C$2:$C$50=$Q$8))</f>
        <v>0</v>
      </c>
      <c r="AN157" s="3">
        <f t="shared" si="17"/>
        <v>0</v>
      </c>
      <c r="AO157" s="3">
        <f>SUM(J2:J50)</f>
        <v>1362.5000000000005</v>
      </c>
      <c r="AP1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4469.6500379999998</v>
      </c>
      <c r="AQ157" s="3" cm="1">
        <f t="array" aca="1" ref="AQ157" ca="1">OFFSET(Table7[[#This Row],[Investment Increase]],0,-1)-SUM($J$2:$J$50*($E$2:$E$50=$Q$31))</f>
        <v>1030.6500379999998</v>
      </c>
    </row>
    <row r="158" spans="22:43" x14ac:dyDescent="0.45">
      <c r="V158" s="9">
        <v>44517</v>
      </c>
      <c r="W158" s="3">
        <v>200.92</v>
      </c>
      <c r="X158" s="2" cm="1">
        <f t="array" ref="X158">SUM($F$2:$F$50*($C$2:$C$50=$Q$2))</f>
        <v>3.9319999999999999</v>
      </c>
      <c r="Y158" s="3">
        <f t="shared" si="12"/>
        <v>790.01743999999997</v>
      </c>
      <c r="Z158" s="3">
        <v>193.88</v>
      </c>
      <c r="AA158" s="2" cm="1">
        <f t="array" ref="AA158">SUM($F$2:$F$50*($C$2:$C$50=$Q$3))</f>
        <v>5.8030999999999997</v>
      </c>
      <c r="AB158" s="3">
        <f t="shared" si="13"/>
        <v>1125.1050279999999</v>
      </c>
      <c r="AC158" s="3">
        <v>20.71</v>
      </c>
      <c r="AD158" s="2" cm="1">
        <f t="array" ref="AD158">SUM($F$2:$F$50*($C$2:$C$50=$Q$4))</f>
        <v>21.37</v>
      </c>
      <c r="AE158" s="3">
        <f t="shared" si="14"/>
        <v>442.57270000000005</v>
      </c>
      <c r="AF158" s="3">
        <v>16.850000000000001</v>
      </c>
      <c r="AG158" s="2" cm="1">
        <f t="array" ref="AG158">SUM($F$2:$F$50*($C$2:$C$50=$Q$5))</f>
        <v>43.272999999999996</v>
      </c>
      <c r="AH158" s="3">
        <f t="shared" si="15"/>
        <v>729.15004999999996</v>
      </c>
      <c r="AI158" s="3">
        <v>24.22</v>
      </c>
      <c r="AJ158" s="2" cm="1">
        <f t="array" ref="AJ158">SUM($F$2:$F$50*($C$2:$C$50=$Q$6))</f>
        <v>0</v>
      </c>
      <c r="AK158" s="3">
        <f t="shared" si="16"/>
        <v>0</v>
      </c>
      <c r="AL158" s="3">
        <v>16.46</v>
      </c>
      <c r="AM158" s="2" cm="1">
        <f t="array" ref="AM158">SUM($F$2:$F$50*($C$2:$C$50=$Q$8))</f>
        <v>0</v>
      </c>
      <c r="AN158" s="3">
        <f t="shared" si="17"/>
        <v>0</v>
      </c>
      <c r="AO158" s="3">
        <f>SUM(J2:J50)</f>
        <v>1362.5000000000005</v>
      </c>
      <c r="AP1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4449.3452180000004</v>
      </c>
      <c r="AQ158" s="3" cm="1">
        <f t="array" aca="1" ref="AQ158" ca="1">OFFSET(Table7[[#This Row],[Investment Increase]],0,-1)-SUM($J$2:$J$50*($E$2:$E$50=$Q$31))</f>
        <v>1010.3452180000004</v>
      </c>
    </row>
    <row r="159" spans="22:43" x14ac:dyDescent="0.45">
      <c r="V159" s="9">
        <v>44516</v>
      </c>
      <c r="W159" s="3">
        <v>201.54</v>
      </c>
      <c r="X159" s="2" cm="1">
        <f t="array" ref="X159">SUM($F$2:$F$50*($C$2:$C$50=$Q$2))</f>
        <v>3.9319999999999999</v>
      </c>
      <c r="Y159" s="3">
        <f t="shared" si="12"/>
        <v>792.4552799999999</v>
      </c>
      <c r="Z159" s="3">
        <v>195.42</v>
      </c>
      <c r="AA159" s="2" cm="1">
        <f t="array" ref="AA159">SUM($F$2:$F$50*($C$2:$C$50=$Q$3))</f>
        <v>5.8030999999999997</v>
      </c>
      <c r="AB159" s="3">
        <f t="shared" si="13"/>
        <v>1134.041802</v>
      </c>
      <c r="AC159" s="3">
        <v>20.79</v>
      </c>
      <c r="AD159" s="2" cm="1">
        <f t="array" ref="AD159">SUM($F$2:$F$50*($C$2:$C$50=$Q$4))</f>
        <v>21.37</v>
      </c>
      <c r="AE159" s="3">
        <f t="shared" si="14"/>
        <v>444.28230000000002</v>
      </c>
      <c r="AF159" s="3">
        <v>16.899999999999999</v>
      </c>
      <c r="AG159" s="2" cm="1">
        <f t="array" ref="AG159">SUM($F$2:$F$50*($C$2:$C$50=$Q$5))</f>
        <v>43.272999999999996</v>
      </c>
      <c r="AH159" s="3">
        <f t="shared" si="15"/>
        <v>731.31369999999993</v>
      </c>
      <c r="AI159" s="3">
        <v>24.31</v>
      </c>
      <c r="AJ159" s="2" cm="1">
        <f t="array" ref="AJ159">SUM($F$2:$F$50*($C$2:$C$50=$Q$6))</f>
        <v>0</v>
      </c>
      <c r="AK159" s="3">
        <f t="shared" si="16"/>
        <v>0</v>
      </c>
      <c r="AL159" s="3">
        <v>16.579999999999998</v>
      </c>
      <c r="AM159" s="2" cm="1">
        <f t="array" ref="AM159">SUM($F$2:$F$50*($C$2:$C$50=$Q$8))</f>
        <v>0</v>
      </c>
      <c r="AN159" s="3">
        <f t="shared" si="17"/>
        <v>0</v>
      </c>
      <c r="AO159" s="3">
        <f>SUM(J2:J50)</f>
        <v>1362.5000000000005</v>
      </c>
      <c r="AP1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4464.5930819999994</v>
      </c>
      <c r="AQ159" s="3" cm="1">
        <f t="array" aca="1" ref="AQ159" ca="1">OFFSET(Table7[[#This Row],[Investment Increase]],0,-1)-SUM($J$2:$J$50*($E$2:$E$50=$Q$31))</f>
        <v>1025.5930819999994</v>
      </c>
    </row>
    <row r="160" spans="22:43" x14ac:dyDescent="0.45">
      <c r="V160" s="9">
        <v>44515</v>
      </c>
      <c r="W160" s="3">
        <v>200.02</v>
      </c>
      <c r="X160" s="2" cm="1">
        <f t="array" ref="X160">SUM($F$2:$F$50*($C$2:$C$50=$Q$2))</f>
        <v>3.9319999999999999</v>
      </c>
      <c r="Y160" s="3">
        <f t="shared" si="12"/>
        <v>786.47864000000004</v>
      </c>
      <c r="Z160" s="3">
        <v>193.49</v>
      </c>
      <c r="AA160" s="2" cm="1">
        <f t="array" ref="AA160">SUM($F$2:$F$50*($C$2:$C$50=$Q$3))</f>
        <v>5.8030999999999997</v>
      </c>
      <c r="AB160" s="3">
        <f t="shared" si="13"/>
        <v>1122.841819</v>
      </c>
      <c r="AC160" s="3">
        <v>20.66</v>
      </c>
      <c r="AD160" s="2" cm="1">
        <f t="array" ref="AD160">SUM($F$2:$F$50*($C$2:$C$50=$Q$4))</f>
        <v>21.37</v>
      </c>
      <c r="AE160" s="3">
        <f t="shared" si="14"/>
        <v>441.50420000000003</v>
      </c>
      <c r="AF160" s="3">
        <v>16.82</v>
      </c>
      <c r="AG160" s="2" cm="1">
        <f t="array" ref="AG160">SUM($F$2:$F$50*($C$2:$C$50=$Q$5))</f>
        <v>43.272999999999996</v>
      </c>
      <c r="AH160" s="3">
        <f t="shared" si="15"/>
        <v>727.85185999999999</v>
      </c>
      <c r="AI160" s="3">
        <v>24.25</v>
      </c>
      <c r="AJ160" s="2" cm="1">
        <f t="array" ref="AJ160">SUM($F$2:$F$50*($C$2:$C$50=$Q$6))</f>
        <v>0</v>
      </c>
      <c r="AK160" s="3">
        <f t="shared" si="16"/>
        <v>0</v>
      </c>
      <c r="AL160" s="3">
        <v>16.66</v>
      </c>
      <c r="AM160" s="2" cm="1">
        <f t="array" ref="AM160">SUM($F$2:$F$50*($C$2:$C$50=$Q$8))</f>
        <v>0</v>
      </c>
      <c r="AN160" s="3">
        <f t="shared" si="17"/>
        <v>0</v>
      </c>
      <c r="AO160" s="3">
        <f>SUM(J2:J50)</f>
        <v>1362.5000000000005</v>
      </c>
      <c r="AP1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4441.1765190000006</v>
      </c>
      <c r="AQ160" s="3" cm="1">
        <f t="array" aca="1" ref="AQ160" ca="1">OFFSET(Table7[[#This Row],[Investment Increase]],0,-1)-SUM($J$2:$J$50*($E$2:$E$50=$Q$31))</f>
        <v>1002.1765190000006</v>
      </c>
    </row>
    <row r="161" spans="22:43" x14ac:dyDescent="0.45">
      <c r="V161" s="9">
        <v>44512</v>
      </c>
      <c r="W161" s="3">
        <v>200.09</v>
      </c>
      <c r="X161" s="2" cm="1">
        <f t="array" ref="X161">SUM($F$2:$F$50*($C$2:$C$50=$Q$2))</f>
        <v>3.9319999999999999</v>
      </c>
      <c r="Y161" s="3">
        <f t="shared" si="12"/>
        <v>786.75387999999998</v>
      </c>
      <c r="Z161" s="3">
        <v>193.7</v>
      </c>
      <c r="AA161" s="2" cm="1">
        <f t="array" ref="AA161">SUM($F$2:$F$50*($C$2:$C$50=$Q$3))</f>
        <v>5.8030999999999997</v>
      </c>
      <c r="AB161" s="3">
        <f t="shared" si="13"/>
        <v>1124.0604699999999</v>
      </c>
      <c r="AC161" s="3">
        <v>20.65</v>
      </c>
      <c r="AD161" s="2" cm="1">
        <f t="array" ref="AD161">SUM($F$2:$F$50*($C$2:$C$50=$Q$4))</f>
        <v>21.37</v>
      </c>
      <c r="AE161" s="3">
        <f t="shared" si="14"/>
        <v>441.29050000000001</v>
      </c>
      <c r="AF161" s="3">
        <v>16.82</v>
      </c>
      <c r="AG161" s="2" cm="1">
        <f t="array" ref="AG161">SUM($F$2:$F$50*($C$2:$C$50=$Q$5))</f>
        <v>43.272999999999996</v>
      </c>
      <c r="AH161" s="3">
        <f t="shared" si="15"/>
        <v>727.85185999999999</v>
      </c>
      <c r="AI161" s="3">
        <v>24.27</v>
      </c>
      <c r="AJ161" s="2" cm="1">
        <f t="array" ref="AJ161">SUM($F$2:$F$50*($C$2:$C$50=$Q$6))</f>
        <v>0</v>
      </c>
      <c r="AK161" s="3">
        <f t="shared" si="16"/>
        <v>0</v>
      </c>
      <c r="AL161" s="3">
        <v>16.63</v>
      </c>
      <c r="AM161" s="2" cm="1">
        <f t="array" ref="AM161">SUM($F$2:$F$50*($C$2:$C$50=$Q$8))</f>
        <v>0</v>
      </c>
      <c r="AN161" s="3">
        <f t="shared" si="17"/>
        <v>0</v>
      </c>
      <c r="AO161" s="3">
        <f>SUM(J2:J50)</f>
        <v>1362.5000000000005</v>
      </c>
      <c r="AP1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4442.4567100000004</v>
      </c>
      <c r="AQ161" s="3" cm="1">
        <f t="array" aca="1" ref="AQ161" ca="1">OFFSET(Table7[[#This Row],[Investment Increase]],0,-1)-SUM($J$2:$J$50*($E$2:$E$50=$Q$31))</f>
        <v>1003.4567100000004</v>
      </c>
    </row>
    <row r="162" spans="22:43" x14ac:dyDescent="0.45">
      <c r="V162" s="9">
        <v>44511</v>
      </c>
      <c r="W162" s="3">
        <v>198.1</v>
      </c>
      <c r="X162" s="2" cm="1">
        <f t="array" ref="X162">SUM($F$2:$F$50*($C$2:$C$50=$Q$2))</f>
        <v>3.9319999999999999</v>
      </c>
      <c r="Y162" s="3">
        <f t="shared" si="12"/>
        <v>778.92919999999992</v>
      </c>
      <c r="Z162" s="3">
        <v>191.1</v>
      </c>
      <c r="AA162" s="2" cm="1">
        <f t="array" ref="AA162">SUM($F$2:$F$50*($C$2:$C$50=$Q$3))</f>
        <v>5.8030999999999997</v>
      </c>
      <c r="AB162" s="3">
        <f t="shared" si="13"/>
        <v>1108.9724099999999</v>
      </c>
      <c r="AC162" s="3">
        <v>20.38</v>
      </c>
      <c r="AD162" s="2" cm="1">
        <f t="array" ref="AD162">SUM($F$2:$F$50*($C$2:$C$50=$Q$4))</f>
        <v>21.37</v>
      </c>
      <c r="AE162" s="3">
        <f t="shared" si="14"/>
        <v>435.5206</v>
      </c>
      <c r="AF162" s="3">
        <v>16.690000000000001</v>
      </c>
      <c r="AG162" s="2" cm="1">
        <f t="array" ref="AG162">SUM($F$2:$F$50*($C$2:$C$50=$Q$5))</f>
        <v>43.272999999999996</v>
      </c>
      <c r="AH162" s="3">
        <f t="shared" si="15"/>
        <v>722.22636999999997</v>
      </c>
      <c r="AI162" s="3">
        <v>24.09</v>
      </c>
      <c r="AJ162" s="2" cm="1">
        <f t="array" ref="AJ162">SUM($F$2:$F$50*($C$2:$C$50=$Q$6))</f>
        <v>0</v>
      </c>
      <c r="AK162" s="3">
        <f t="shared" si="16"/>
        <v>0</v>
      </c>
      <c r="AL162" s="3">
        <v>16.61</v>
      </c>
      <c r="AM162" s="2" cm="1">
        <f t="array" ref="AM162">SUM($F$2:$F$50*($C$2:$C$50=$Q$8))</f>
        <v>0</v>
      </c>
      <c r="AN162" s="3">
        <f t="shared" si="17"/>
        <v>0</v>
      </c>
      <c r="AO162" s="3">
        <f>SUM(J2:J50)</f>
        <v>1362.5000000000005</v>
      </c>
      <c r="AP1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4408.14858</v>
      </c>
      <c r="AQ162" s="3" cm="1">
        <f t="array" aca="1" ref="AQ162" ca="1">OFFSET(Table7[[#This Row],[Investment Increase]],0,-1)-SUM($J$2:$J$50*($E$2:$E$50=$Q$31))</f>
        <v>969.14858000000004</v>
      </c>
    </row>
    <row r="163" spans="22:43" x14ac:dyDescent="0.45">
      <c r="V163" s="9">
        <v>44510</v>
      </c>
      <c r="W163" s="3">
        <v>197.09</v>
      </c>
      <c r="X163" s="2" cm="1">
        <f t="array" ref="X163">SUM($F$2:$F$50*($C$2:$C$50=$Q$2))</f>
        <v>3.9319999999999999</v>
      </c>
      <c r="Y163" s="3">
        <f t="shared" si="12"/>
        <v>774.95788000000005</v>
      </c>
      <c r="Z163" s="3">
        <v>189.62</v>
      </c>
      <c r="AA163" s="2" cm="1">
        <f t="array" ref="AA163">SUM($F$2:$F$50*($C$2:$C$50=$Q$3))</f>
        <v>5.8030999999999997</v>
      </c>
      <c r="AB163" s="3">
        <f t="shared" si="13"/>
        <v>1100.383822</v>
      </c>
      <c r="AC163" s="3">
        <v>20.28</v>
      </c>
      <c r="AD163" s="2" cm="1">
        <f t="array" ref="AD163">SUM($F$2:$F$50*($C$2:$C$50=$Q$4))</f>
        <v>21.37</v>
      </c>
      <c r="AE163" s="3">
        <f t="shared" si="14"/>
        <v>433.38360000000006</v>
      </c>
      <c r="AF163" s="3">
        <v>16.68</v>
      </c>
      <c r="AG163" s="2" cm="1">
        <f t="array" ref="AG163">SUM($F$2:$F$50*($C$2:$C$50=$Q$5))</f>
        <v>43.272999999999996</v>
      </c>
      <c r="AH163" s="3">
        <f t="shared" si="15"/>
        <v>721.79363999999987</v>
      </c>
      <c r="AI163" s="3">
        <v>24.04</v>
      </c>
      <c r="AJ163" s="2" cm="1">
        <f t="array" ref="AJ163">SUM($F$2:$F$50*($C$2:$C$50=$Q$6))</f>
        <v>0</v>
      </c>
      <c r="AK163" s="3">
        <f t="shared" si="16"/>
        <v>0</v>
      </c>
      <c r="AL163" s="3">
        <v>16.329999999999998</v>
      </c>
      <c r="AM163" s="2" cm="1">
        <f t="array" ref="AM163">SUM($F$2:$F$50*($C$2:$C$50=$Q$8))</f>
        <v>0</v>
      </c>
      <c r="AN163" s="3">
        <f t="shared" si="17"/>
        <v>0</v>
      </c>
      <c r="AO163" s="3">
        <f>SUM(J2:J50)</f>
        <v>1362.5000000000005</v>
      </c>
      <c r="AP1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4393.0189420000006</v>
      </c>
      <c r="AQ163" s="3" cm="1">
        <f t="array" aca="1" ref="AQ163" ca="1">OFFSET(Table7[[#This Row],[Investment Increase]],0,-1)-SUM($J$2:$J$50*($E$2:$E$50=$Q$31))</f>
        <v>954.01894200000061</v>
      </c>
    </row>
    <row r="164" spans="22:43" x14ac:dyDescent="0.45">
      <c r="V164" s="9">
        <v>44509</v>
      </c>
      <c r="W164" s="3">
        <v>200.39</v>
      </c>
      <c r="X164" s="2" cm="1">
        <f t="array" ref="X164">SUM($F$2:$F$50*($C$2:$C$50=$Q$2))</f>
        <v>3.9319999999999999</v>
      </c>
      <c r="Y164" s="3">
        <f t="shared" si="12"/>
        <v>787.93347999999992</v>
      </c>
      <c r="Z164" s="3">
        <v>193.39</v>
      </c>
      <c r="AA164" s="2" cm="1">
        <f t="array" ref="AA164">SUM($F$2:$F$50*($C$2:$C$50=$Q$3))</f>
        <v>5.8030999999999997</v>
      </c>
      <c r="AB164" s="3">
        <f t="shared" si="13"/>
        <v>1122.2615089999999</v>
      </c>
      <c r="AC164" s="3">
        <v>20.66</v>
      </c>
      <c r="AD164" s="2" cm="1">
        <f t="array" ref="AD164">SUM($F$2:$F$50*($C$2:$C$50=$Q$4))</f>
        <v>21.37</v>
      </c>
      <c r="AE164" s="3">
        <f t="shared" si="14"/>
        <v>441.50420000000003</v>
      </c>
      <c r="AF164" s="3">
        <v>16.829999999999998</v>
      </c>
      <c r="AG164" s="2" cm="1">
        <f t="array" ref="AG164">SUM($F$2:$F$50*($C$2:$C$50=$Q$5))</f>
        <v>43.272999999999996</v>
      </c>
      <c r="AH164" s="3">
        <f t="shared" si="15"/>
        <v>728.28458999999987</v>
      </c>
      <c r="AI164" s="3">
        <v>24.25</v>
      </c>
      <c r="AJ164" s="2" cm="1">
        <f t="array" ref="AJ164">SUM($F$2:$F$50*($C$2:$C$50=$Q$6))</f>
        <v>0</v>
      </c>
      <c r="AK164" s="3">
        <f t="shared" si="16"/>
        <v>0</v>
      </c>
      <c r="AL164" s="3">
        <v>16.61</v>
      </c>
      <c r="AM164" s="2" cm="1">
        <f t="array" ref="AM164">SUM($F$2:$F$50*($C$2:$C$50=$Q$8))</f>
        <v>0</v>
      </c>
      <c r="AN164" s="3">
        <f t="shared" si="17"/>
        <v>0</v>
      </c>
      <c r="AO164" s="3">
        <f>SUM(J2:J50)</f>
        <v>1362.5000000000005</v>
      </c>
      <c r="AP1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4442.4837790000001</v>
      </c>
      <c r="AQ164" s="3" cm="1">
        <f t="array" aca="1" ref="AQ164" ca="1">OFFSET(Table7[[#This Row],[Investment Increase]],0,-1)-SUM($J$2:$J$50*($E$2:$E$50=$Q$31))</f>
        <v>1003.4837790000001</v>
      </c>
    </row>
    <row r="165" spans="22:43" x14ac:dyDescent="0.45">
      <c r="V165" s="9">
        <v>44508</v>
      </c>
      <c r="W165" s="3">
        <v>201.6</v>
      </c>
      <c r="X165" s="2" cm="1">
        <f t="array" ref="X165">SUM($F$2:$F$50*($C$2:$C$50=$Q$2))</f>
        <v>3.9319999999999999</v>
      </c>
      <c r="Y165" s="3">
        <f t="shared" si="12"/>
        <v>792.69119999999998</v>
      </c>
      <c r="Z165" s="3">
        <v>194.18</v>
      </c>
      <c r="AA165" s="2" cm="1">
        <f t="array" ref="AA165">SUM($F$2:$F$50*($C$2:$C$50=$Q$3))</f>
        <v>5.8030999999999997</v>
      </c>
      <c r="AB165" s="3">
        <f t="shared" si="13"/>
        <v>1126.8459579999999</v>
      </c>
      <c r="AC165" s="3">
        <v>20.7</v>
      </c>
      <c r="AD165" s="2" cm="1">
        <f t="array" ref="AD165">SUM($F$2:$F$50*($C$2:$C$50=$Q$4))</f>
        <v>21.37</v>
      </c>
      <c r="AE165" s="3">
        <f t="shared" si="14"/>
        <v>442.35899999999998</v>
      </c>
      <c r="AF165" s="3">
        <v>16.89</v>
      </c>
      <c r="AG165" s="2" cm="1">
        <f t="array" ref="AG165">SUM($F$2:$F$50*($C$2:$C$50=$Q$5))</f>
        <v>43.272999999999996</v>
      </c>
      <c r="AH165" s="3">
        <f t="shared" si="15"/>
        <v>730.88096999999993</v>
      </c>
      <c r="AI165" s="3">
        <v>24.33</v>
      </c>
      <c r="AJ165" s="2" cm="1">
        <f t="array" ref="AJ165">SUM($F$2:$F$50*($C$2:$C$50=$Q$6))</f>
        <v>0</v>
      </c>
      <c r="AK165" s="3">
        <f t="shared" si="16"/>
        <v>0</v>
      </c>
      <c r="AL165" s="3">
        <v>16.62</v>
      </c>
      <c r="AM165" s="2" cm="1">
        <f t="array" ref="AM165">SUM($F$2:$F$50*($C$2:$C$50=$Q$8))</f>
        <v>0</v>
      </c>
      <c r="AN165" s="3">
        <f t="shared" si="17"/>
        <v>0</v>
      </c>
      <c r="AO165" s="3">
        <f>SUM(J2:J50)</f>
        <v>1362.5000000000005</v>
      </c>
      <c r="AP1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4455.2771279999997</v>
      </c>
      <c r="AQ165" s="3" cm="1">
        <f t="array" aca="1" ref="AQ165" ca="1">OFFSET(Table7[[#This Row],[Investment Increase]],0,-1)-SUM($J$2:$J$50*($E$2:$E$50=$Q$31))</f>
        <v>1016.2771279999997</v>
      </c>
    </row>
    <row r="166" spans="22:43" x14ac:dyDescent="0.45">
      <c r="V166" s="9">
        <v>44505</v>
      </c>
      <c r="W166" s="3">
        <v>201.48</v>
      </c>
      <c r="X166" s="2" cm="1">
        <f t="array" ref="X166">SUM($F$2:$F$50*($C$2:$C$50=$Q$2))</f>
        <v>3.9319999999999999</v>
      </c>
      <c r="Y166" s="3">
        <f t="shared" si="12"/>
        <v>792.21935999999994</v>
      </c>
      <c r="Z166" s="3">
        <v>194.01</v>
      </c>
      <c r="AA166" s="2" cm="1">
        <f t="array" ref="AA166">SUM($F$2:$F$50*($C$2:$C$50=$Q$3))</f>
        <v>5.8030999999999997</v>
      </c>
      <c r="AB166" s="3">
        <f t="shared" si="13"/>
        <v>1125.8594309999999</v>
      </c>
      <c r="AC166" s="3">
        <v>20.64</v>
      </c>
      <c r="AD166" s="2" cm="1">
        <f t="array" ref="AD166">SUM($F$2:$F$50*($C$2:$C$50=$Q$4))</f>
        <v>21.37</v>
      </c>
      <c r="AE166" s="3">
        <f t="shared" si="14"/>
        <v>441.07680000000005</v>
      </c>
      <c r="AF166" s="3">
        <v>16.86</v>
      </c>
      <c r="AG166" s="2" cm="1">
        <f t="array" ref="AG166">SUM($F$2:$F$50*($C$2:$C$50=$Q$5))</f>
        <v>43.272999999999996</v>
      </c>
      <c r="AH166" s="3">
        <f t="shared" si="15"/>
        <v>729.58277999999996</v>
      </c>
      <c r="AI166" s="3">
        <v>24.31</v>
      </c>
      <c r="AJ166" s="2" cm="1">
        <f t="array" ref="AJ166">SUM($F$2:$F$50*($C$2:$C$50=$Q$6))</f>
        <v>0</v>
      </c>
      <c r="AK166" s="3">
        <f t="shared" si="16"/>
        <v>0</v>
      </c>
      <c r="AL166" s="3">
        <v>16.41</v>
      </c>
      <c r="AM166" s="2" cm="1">
        <f t="array" ref="AM166">SUM($F$2:$F$50*($C$2:$C$50=$Q$8))</f>
        <v>0</v>
      </c>
      <c r="AN166" s="3">
        <f t="shared" si="17"/>
        <v>0</v>
      </c>
      <c r="AO166" s="3">
        <f>SUM(J2:J50)</f>
        <v>1362.5000000000005</v>
      </c>
      <c r="AP1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4451.2383709999995</v>
      </c>
      <c r="AQ166" s="3" cm="1">
        <f t="array" aca="1" ref="AQ166" ca="1">OFFSET(Table7[[#This Row],[Investment Increase]],0,-1)-SUM($J$2:$J$50*($E$2:$E$50=$Q$31))</f>
        <v>1012.2383709999995</v>
      </c>
    </row>
    <row r="167" spans="22:43" x14ac:dyDescent="0.45">
      <c r="V167" s="9">
        <v>44504</v>
      </c>
      <c r="W167" s="3">
        <v>201.03</v>
      </c>
      <c r="X167" s="2" cm="1">
        <f t="array" ref="X167">SUM($F$2:$F$50*($C$2:$C$50=$Q$2))</f>
        <v>3.9319999999999999</v>
      </c>
      <c r="Y167" s="3">
        <f t="shared" si="12"/>
        <v>790.44996000000003</v>
      </c>
      <c r="Z167" s="3">
        <v>193.51</v>
      </c>
      <c r="AA167" s="2" cm="1">
        <f t="array" ref="AA167">SUM($F$2:$F$50*($C$2:$C$50=$Q$3))</f>
        <v>5.8030999999999997</v>
      </c>
      <c r="AB167" s="3">
        <f t="shared" si="13"/>
        <v>1122.9578809999998</v>
      </c>
      <c r="AC167" s="3">
        <v>20.6</v>
      </c>
      <c r="AD167" s="2" cm="1">
        <f t="array" ref="AD167">SUM($F$2:$F$50*($C$2:$C$50=$Q$4))</f>
        <v>21.37</v>
      </c>
      <c r="AE167" s="3">
        <f t="shared" si="14"/>
        <v>440.22200000000004</v>
      </c>
      <c r="AF167" s="3">
        <v>16.809999999999999</v>
      </c>
      <c r="AG167" s="2" cm="1">
        <f t="array" ref="AG167">SUM($F$2:$F$50*($C$2:$C$50=$Q$5))</f>
        <v>43.272999999999996</v>
      </c>
      <c r="AH167" s="3">
        <f t="shared" si="15"/>
        <v>727.41912999999988</v>
      </c>
      <c r="AI167" s="3">
        <v>24.24</v>
      </c>
      <c r="AJ167" s="2" cm="1">
        <f t="array" ref="AJ167">SUM($F$2:$F$50*($C$2:$C$50=$Q$6))</f>
        <v>0</v>
      </c>
      <c r="AK167" s="3">
        <f t="shared" si="16"/>
        <v>0</v>
      </c>
      <c r="AL167" s="3">
        <v>16.329999999999998</v>
      </c>
      <c r="AM167" s="2" cm="1">
        <f t="array" ref="AM167">SUM($F$2:$F$50*($C$2:$C$50=$Q$8))</f>
        <v>0</v>
      </c>
      <c r="AN167" s="3">
        <f t="shared" si="17"/>
        <v>0</v>
      </c>
      <c r="AO167" s="3">
        <f>SUM(J2:J50)</f>
        <v>1362.5000000000005</v>
      </c>
      <c r="AP1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4443.5489710000002</v>
      </c>
      <c r="AQ167" s="3" cm="1">
        <f t="array" aca="1" ref="AQ167" ca="1">OFFSET(Table7[[#This Row],[Investment Increase]],0,-1)-SUM($J$2:$J$50*($E$2:$E$50=$Q$31))</f>
        <v>1004.5489710000002</v>
      </c>
    </row>
    <row r="168" spans="22:43" x14ac:dyDescent="0.45">
      <c r="V168" s="9">
        <v>44503</v>
      </c>
      <c r="W168" s="3">
        <v>199.39</v>
      </c>
      <c r="X168" s="2" cm="1">
        <f t="array" ref="X168">SUM($F$2:$F$50*($C$2:$C$50=$Q$2))</f>
        <v>3.9319999999999999</v>
      </c>
      <c r="Y168" s="3">
        <f t="shared" si="12"/>
        <v>784.0014799999999</v>
      </c>
      <c r="Z168" s="3">
        <v>191.42</v>
      </c>
      <c r="AA168" s="2" cm="1">
        <f t="array" ref="AA168">SUM($F$2:$F$50*($C$2:$C$50=$Q$3))</f>
        <v>5.8030999999999997</v>
      </c>
      <c r="AB168" s="3">
        <f t="shared" si="13"/>
        <v>1110.8294019999998</v>
      </c>
      <c r="AC168" s="3">
        <v>20.329999999999998</v>
      </c>
      <c r="AD168" s="2" cm="1">
        <f t="array" ref="AD168">SUM($F$2:$F$50*($C$2:$C$50=$Q$4))</f>
        <v>21.37</v>
      </c>
      <c r="AE168" s="3">
        <f t="shared" si="14"/>
        <v>434.45209999999997</v>
      </c>
      <c r="AF168" s="3">
        <v>16.739999999999998</v>
      </c>
      <c r="AG168" s="2" cm="1">
        <f t="array" ref="AG168">SUM($F$2:$F$50*($C$2:$C$50=$Q$5))</f>
        <v>43.272999999999996</v>
      </c>
      <c r="AH168" s="3">
        <f t="shared" si="15"/>
        <v>724.39001999999982</v>
      </c>
      <c r="AI168" s="3">
        <v>24.11</v>
      </c>
      <c r="AJ168" s="2" cm="1">
        <f t="array" ref="AJ168">SUM($F$2:$F$50*($C$2:$C$50=$Q$6))</f>
        <v>0</v>
      </c>
      <c r="AK168" s="3">
        <f t="shared" si="16"/>
        <v>0</v>
      </c>
      <c r="AL168" s="3">
        <v>16.350000000000001</v>
      </c>
      <c r="AM168" s="2" cm="1">
        <f t="array" ref="AM168">SUM($F$2:$F$50*($C$2:$C$50=$Q$8))</f>
        <v>0</v>
      </c>
      <c r="AN168" s="3">
        <f t="shared" si="17"/>
        <v>0</v>
      </c>
      <c r="AO168" s="3">
        <f>SUM(J2:J50)</f>
        <v>1362.5000000000005</v>
      </c>
      <c r="AP1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4416.1730019999995</v>
      </c>
      <c r="AQ168" s="3" cm="1">
        <f t="array" aca="1" ref="AQ168" ca="1">OFFSET(Table7[[#This Row],[Investment Increase]],0,-1)-SUM($J$2:$J$50*($E$2:$E$50=$Q$31))</f>
        <v>977.17300199999954</v>
      </c>
    </row>
    <row r="169" spans="22:43" x14ac:dyDescent="0.45">
      <c r="V169" s="9">
        <v>44502</v>
      </c>
      <c r="W169" s="3">
        <v>197.35</v>
      </c>
      <c r="X169" s="2" cm="1">
        <f t="array" ref="X169">SUM($F$2:$F$50*($C$2:$C$50=$Q$2))</f>
        <v>3.9319999999999999</v>
      </c>
      <c r="Y169" s="3">
        <f t="shared" si="12"/>
        <v>775.98019999999997</v>
      </c>
      <c r="Z169" s="3">
        <v>188.99</v>
      </c>
      <c r="AA169" s="2" cm="1">
        <f t="array" ref="AA169">SUM($F$2:$F$50*($C$2:$C$50=$Q$3))</f>
        <v>5.8030999999999997</v>
      </c>
      <c r="AB169" s="3">
        <f t="shared" si="13"/>
        <v>1096.7278690000001</v>
      </c>
      <c r="AC169" s="3">
        <v>20.16</v>
      </c>
      <c r="AD169" s="2" cm="1">
        <f t="array" ref="AD169">SUM($F$2:$F$50*($C$2:$C$50=$Q$4))</f>
        <v>21.37</v>
      </c>
      <c r="AE169" s="3">
        <f t="shared" si="14"/>
        <v>430.81920000000002</v>
      </c>
      <c r="AF169" s="3">
        <v>16.63</v>
      </c>
      <c r="AG169" s="2" cm="1">
        <f t="array" ref="AG169">SUM($F$2:$F$50*($C$2:$C$50=$Q$5))</f>
        <v>43.272999999999996</v>
      </c>
      <c r="AH169" s="3">
        <f t="shared" si="15"/>
        <v>719.62998999999991</v>
      </c>
      <c r="AI169" s="3">
        <v>23.97</v>
      </c>
      <c r="AJ169" s="2" cm="1">
        <f t="array" ref="AJ169">SUM($F$2:$F$50*($C$2:$C$50=$Q$6))</f>
        <v>0</v>
      </c>
      <c r="AK169" s="3">
        <f t="shared" si="16"/>
        <v>0</v>
      </c>
      <c r="AL169" s="3">
        <v>16.25</v>
      </c>
      <c r="AM169" s="2" cm="1">
        <f t="array" ref="AM169">SUM($F$2:$F$50*($C$2:$C$50=$Q$8))</f>
        <v>0</v>
      </c>
      <c r="AN169" s="3">
        <f t="shared" si="17"/>
        <v>0</v>
      </c>
      <c r="AO169" s="3">
        <f>SUM(J2:J50)</f>
        <v>1362.5000000000005</v>
      </c>
      <c r="AP1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4385.6572590000005</v>
      </c>
      <c r="AQ169" s="3" cm="1">
        <f t="array" aca="1" ref="AQ169" ca="1">OFFSET(Table7[[#This Row],[Investment Increase]],0,-1)-SUM($J$2:$J$50*($E$2:$E$50=$Q$31))</f>
        <v>946.65725900000052</v>
      </c>
    </row>
    <row r="170" spans="22:43" x14ac:dyDescent="0.45">
      <c r="V170" s="9">
        <v>44501</v>
      </c>
      <c r="W170" s="3">
        <v>196.66</v>
      </c>
      <c r="X170" s="2" cm="1">
        <f t="array" ref="X170">SUM($F$2:$F$50*($C$2:$C$50=$Q$2))</f>
        <v>3.9319999999999999</v>
      </c>
      <c r="Y170" s="3">
        <f t="shared" si="12"/>
        <v>773.26711999999998</v>
      </c>
      <c r="Z170" s="3">
        <v>188.73</v>
      </c>
      <c r="AA170" s="2" cm="1">
        <f t="array" ref="AA170">SUM($F$2:$F$50*($C$2:$C$50=$Q$3))</f>
        <v>5.8030999999999997</v>
      </c>
      <c r="AB170" s="3">
        <f t="shared" si="13"/>
        <v>1095.2190629999998</v>
      </c>
      <c r="AC170" s="3">
        <v>20.11</v>
      </c>
      <c r="AD170" s="2" cm="1">
        <f t="array" ref="AD170">SUM($F$2:$F$50*($C$2:$C$50=$Q$4))</f>
        <v>21.37</v>
      </c>
      <c r="AE170" s="3">
        <f t="shared" si="14"/>
        <v>429.75069999999999</v>
      </c>
      <c r="AF170" s="3">
        <v>16.579999999999998</v>
      </c>
      <c r="AG170" s="2" cm="1">
        <f t="array" ref="AG170">SUM($F$2:$F$50*($C$2:$C$50=$Q$5))</f>
        <v>43.272999999999996</v>
      </c>
      <c r="AH170" s="3">
        <f t="shared" si="15"/>
        <v>717.46633999999983</v>
      </c>
      <c r="AI170" s="3">
        <v>23.92</v>
      </c>
      <c r="AJ170" s="2" cm="1">
        <f t="array" ref="AJ170">SUM($F$2:$F$50*($C$2:$C$50=$Q$6))</f>
        <v>0</v>
      </c>
      <c r="AK170" s="3">
        <f t="shared" si="16"/>
        <v>0</v>
      </c>
      <c r="AL170" s="3">
        <v>16.52</v>
      </c>
      <c r="AM170" s="2" cm="1">
        <f t="array" ref="AM170">SUM($F$2:$F$50*($C$2:$C$50=$Q$8))</f>
        <v>0</v>
      </c>
      <c r="AN170" s="3">
        <f t="shared" si="17"/>
        <v>0</v>
      </c>
      <c r="AO170" s="3">
        <f>SUM(J2:J50)</f>
        <v>1362.5000000000005</v>
      </c>
      <c r="AP1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4378.2032230000004</v>
      </c>
      <c r="AQ170" s="3" cm="1">
        <f t="array" aca="1" ref="AQ170" ca="1">OFFSET(Table7[[#This Row],[Investment Increase]],0,-1)-SUM($J$2:$J$50*($E$2:$E$50=$Q$31))</f>
        <v>939.20322300000043</v>
      </c>
    </row>
    <row r="171" spans="22:43" x14ac:dyDescent="0.45">
      <c r="V171" s="9">
        <v>44498</v>
      </c>
      <c r="W171" s="3">
        <v>195.45</v>
      </c>
      <c r="X171" s="2" cm="1">
        <f t="array" ref="X171">SUM($F$2:$F$50*($C$2:$C$50=$Q$2))</f>
        <v>3.9319999999999999</v>
      </c>
      <c r="Y171" s="3">
        <f t="shared" si="12"/>
        <v>768.50939999999991</v>
      </c>
      <c r="Z171" s="3">
        <v>187.53</v>
      </c>
      <c r="AA171" s="2" cm="1">
        <f t="array" ref="AA171">SUM($F$2:$F$50*($C$2:$C$50=$Q$3))</f>
        <v>5.8030999999999997</v>
      </c>
      <c r="AB171" s="3">
        <f t="shared" si="13"/>
        <v>1088.255343</v>
      </c>
      <c r="AC171" s="3">
        <v>20.12</v>
      </c>
      <c r="AD171" s="2" cm="1">
        <f t="array" ref="AD171">SUM($F$2:$F$50*($C$2:$C$50=$Q$4))</f>
        <v>21.37</v>
      </c>
      <c r="AE171" s="3">
        <f t="shared" si="14"/>
        <v>429.96440000000007</v>
      </c>
      <c r="AF171" s="3">
        <v>16.55</v>
      </c>
      <c r="AG171" s="2" cm="1">
        <f t="array" ref="AG171">SUM($F$2:$F$50*($C$2:$C$50=$Q$5))</f>
        <v>43.272999999999996</v>
      </c>
      <c r="AH171" s="3">
        <f t="shared" si="15"/>
        <v>716.16814999999997</v>
      </c>
      <c r="AI171" s="3">
        <v>23.83</v>
      </c>
      <c r="AJ171" s="2" cm="1">
        <f t="array" ref="AJ171">SUM($F$2:$F$50*($C$2:$C$50=$Q$6))</f>
        <v>0</v>
      </c>
      <c r="AK171" s="3">
        <f t="shared" si="16"/>
        <v>0</v>
      </c>
      <c r="AL171" s="3">
        <v>16.39</v>
      </c>
      <c r="AM171" s="2" cm="1">
        <f t="array" ref="AM171">SUM($F$2:$F$50*($C$2:$C$50=$Q$8))</f>
        <v>0</v>
      </c>
      <c r="AN171" s="3">
        <f t="shared" si="17"/>
        <v>0</v>
      </c>
      <c r="AO171" s="3">
        <f>SUM(J2:J50)</f>
        <v>1362.5000000000005</v>
      </c>
      <c r="AP1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4365.397293</v>
      </c>
      <c r="AQ171" s="3" cm="1">
        <f t="array" aca="1" ref="AQ171" ca="1">OFFSET(Table7[[#This Row],[Investment Increase]],0,-1)-SUM($J$2:$J$50*($E$2:$E$50=$Q$31))</f>
        <v>926.39729299999999</v>
      </c>
    </row>
    <row r="172" spans="22:43" x14ac:dyDescent="0.45">
      <c r="V172" s="9">
        <v>44497</v>
      </c>
      <c r="W172" s="3">
        <v>194.8</v>
      </c>
      <c r="X172" s="2" cm="1">
        <f t="array" ref="X172">SUM($F$2:$F$50*($C$2:$C$50=$Q$2))</f>
        <v>3.9319999999999999</v>
      </c>
      <c r="Y172" s="3">
        <f t="shared" si="12"/>
        <v>765.95360000000005</v>
      </c>
      <c r="Z172" s="3">
        <v>186.76</v>
      </c>
      <c r="AA172" s="2" cm="1">
        <f t="array" ref="AA172">SUM($F$2:$F$50*($C$2:$C$50=$Q$3))</f>
        <v>5.8030999999999997</v>
      </c>
      <c r="AB172" s="3">
        <f t="shared" si="13"/>
        <v>1083.7869559999999</v>
      </c>
      <c r="AC172" s="3">
        <v>20.059999999999999</v>
      </c>
      <c r="AD172" s="2" cm="1">
        <f t="array" ref="AD172">SUM($F$2:$F$50*($C$2:$C$50=$Q$4))</f>
        <v>21.37</v>
      </c>
      <c r="AE172" s="3">
        <f t="shared" si="14"/>
        <v>428.68219999999997</v>
      </c>
      <c r="AF172" s="3">
        <v>16.510000000000002</v>
      </c>
      <c r="AG172" s="2" cm="1">
        <f t="array" ref="AG172">SUM($F$2:$F$50*($C$2:$C$50=$Q$5))</f>
        <v>43.272999999999996</v>
      </c>
      <c r="AH172" s="3">
        <f t="shared" si="15"/>
        <v>714.43723</v>
      </c>
      <c r="AI172" s="3">
        <v>23.78</v>
      </c>
      <c r="AJ172" s="2" cm="1">
        <f t="array" ref="AJ172">SUM($F$2:$F$50*($C$2:$C$50=$Q$6))</f>
        <v>0</v>
      </c>
      <c r="AK172" s="3">
        <f t="shared" si="16"/>
        <v>0</v>
      </c>
      <c r="AL172" s="3">
        <v>16.52</v>
      </c>
      <c r="AM172" s="2" cm="1">
        <f t="array" ref="AM172">SUM($F$2:$F$50*($C$2:$C$50=$Q$8))</f>
        <v>0</v>
      </c>
      <c r="AN172" s="3">
        <f t="shared" si="17"/>
        <v>0</v>
      </c>
      <c r="AO172" s="3">
        <f>SUM(J2:J50)</f>
        <v>1362.5000000000005</v>
      </c>
      <c r="AP1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4355.3599860000004</v>
      </c>
      <c r="AQ172" s="3" cm="1">
        <f t="array" aca="1" ref="AQ172" ca="1">OFFSET(Table7[[#This Row],[Investment Increase]],0,-1)-SUM($J$2:$J$50*($E$2:$E$50=$Q$31))</f>
        <v>916.35998600000039</v>
      </c>
    </row>
    <row r="173" spans="22:43" x14ac:dyDescent="0.45">
      <c r="V173" s="9">
        <v>44496</v>
      </c>
      <c r="W173" s="3">
        <v>192.14</v>
      </c>
      <c r="X173" s="2" cm="1">
        <f t="array" ref="X173">SUM($F$2:$F$50*($C$2:$C$50=$Q$2))</f>
        <v>3.9319999999999999</v>
      </c>
      <c r="Y173" s="3">
        <f t="shared" si="12"/>
        <v>755.49447999999995</v>
      </c>
      <c r="Z173" s="3">
        <v>184.21</v>
      </c>
      <c r="AA173" s="2" cm="1">
        <f t="array" ref="AA173">SUM($F$2:$F$50*($C$2:$C$50=$Q$3))</f>
        <v>5.8030999999999997</v>
      </c>
      <c r="AB173" s="3">
        <f t="shared" si="13"/>
        <v>1068.989051</v>
      </c>
      <c r="AC173" s="3">
        <v>19.86</v>
      </c>
      <c r="AD173" s="2" cm="1">
        <f t="array" ref="AD173">SUM($F$2:$F$50*($C$2:$C$50=$Q$4))</f>
        <v>21.37</v>
      </c>
      <c r="AE173" s="3">
        <f t="shared" si="14"/>
        <v>424.40820000000002</v>
      </c>
      <c r="AF173" s="3">
        <v>16.350000000000001</v>
      </c>
      <c r="AG173" s="2" cm="1">
        <f t="array" ref="AG173">SUM($F$2:$F$50*($C$2:$C$50=$Q$5))</f>
        <v>43.272999999999996</v>
      </c>
      <c r="AH173" s="3">
        <f t="shared" si="15"/>
        <v>707.51355000000001</v>
      </c>
      <c r="AI173" s="3">
        <v>23.54</v>
      </c>
      <c r="AJ173" s="2" cm="1">
        <f t="array" ref="AJ173">SUM($F$2:$F$50*($C$2:$C$50=$Q$6))</f>
        <v>0</v>
      </c>
      <c r="AK173" s="3">
        <f t="shared" si="16"/>
        <v>0</v>
      </c>
      <c r="AL173" s="3">
        <v>16.489999999999998</v>
      </c>
      <c r="AM173" s="2" cm="1">
        <f t="array" ref="AM173">SUM($F$2:$F$50*($C$2:$C$50=$Q$8))</f>
        <v>0</v>
      </c>
      <c r="AN173" s="3">
        <f t="shared" si="17"/>
        <v>0</v>
      </c>
      <c r="AO173" s="3">
        <f>SUM(J2:J50)</f>
        <v>1362.5000000000005</v>
      </c>
      <c r="AP1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4318.9052810000003</v>
      </c>
      <c r="AQ173" s="3" cm="1">
        <f t="array" aca="1" ref="AQ173" ca="1">OFFSET(Table7[[#This Row],[Investment Increase]],0,-1)-SUM($J$2:$J$50*($E$2:$E$50=$Q$31))</f>
        <v>879.90528100000029</v>
      </c>
    </row>
    <row r="174" spans="22:43" x14ac:dyDescent="0.45">
      <c r="V174" s="9">
        <v>44495</v>
      </c>
      <c r="W174" s="3">
        <v>192.12</v>
      </c>
      <c r="X174" s="2" cm="1">
        <f t="array" ref="X174">SUM($F$2:$F$50*($C$2:$C$50=$Q$2))</f>
        <v>3.9319999999999999</v>
      </c>
      <c r="Y174" s="3">
        <f t="shared" si="12"/>
        <v>755.41584</v>
      </c>
      <c r="Z174" s="3">
        <v>184.54</v>
      </c>
      <c r="AA174" s="2" cm="1">
        <f t="array" ref="AA174">SUM($F$2:$F$50*($C$2:$C$50=$Q$3))</f>
        <v>5.8030999999999997</v>
      </c>
      <c r="AB174" s="3">
        <f t="shared" si="13"/>
        <v>1070.9040739999998</v>
      </c>
      <c r="AC174" s="3">
        <v>19.829999999999998</v>
      </c>
      <c r="AD174" s="2" cm="1">
        <f t="array" ref="AD174">SUM($F$2:$F$50*($C$2:$C$50=$Q$4))</f>
        <v>21.37</v>
      </c>
      <c r="AE174" s="3">
        <f t="shared" si="14"/>
        <v>423.76709999999997</v>
      </c>
      <c r="AF174" s="3">
        <v>16.440000000000001</v>
      </c>
      <c r="AG174" s="2" cm="1">
        <f t="array" ref="AG174">SUM($F$2:$F$50*($C$2:$C$50=$Q$5))</f>
        <v>43.272999999999996</v>
      </c>
      <c r="AH174" s="3">
        <f t="shared" si="15"/>
        <v>711.40811999999994</v>
      </c>
      <c r="AI174" s="3">
        <v>23.71</v>
      </c>
      <c r="AJ174" s="2" cm="1">
        <f t="array" ref="AJ174">SUM($F$2:$F$50*($C$2:$C$50=$Q$6))</f>
        <v>0</v>
      </c>
      <c r="AK174" s="3">
        <f t="shared" si="16"/>
        <v>0</v>
      </c>
      <c r="AL174" s="3">
        <v>16.809999999999999</v>
      </c>
      <c r="AM174" s="2" cm="1">
        <f t="array" ref="AM174">SUM($F$2:$F$50*($C$2:$C$50=$Q$8))</f>
        <v>0</v>
      </c>
      <c r="AN174" s="3">
        <f t="shared" si="17"/>
        <v>0</v>
      </c>
      <c r="AO174" s="3">
        <f>SUM(J2:J50)</f>
        <v>1362.5000000000005</v>
      </c>
      <c r="AP1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4323.9951340000007</v>
      </c>
      <c r="AQ174" s="3" cm="1">
        <f t="array" aca="1" ref="AQ174" ca="1">OFFSET(Table7[[#This Row],[Investment Increase]],0,-1)-SUM($J$2:$J$50*($E$2:$E$50=$Q$31))</f>
        <v>884.99513400000069</v>
      </c>
    </row>
    <row r="175" spans="22:43" x14ac:dyDescent="0.45">
      <c r="V175" s="9">
        <v>44494</v>
      </c>
      <c r="W175" s="3">
        <v>192.01</v>
      </c>
      <c r="X175" s="2" cm="1">
        <f t="array" ref="X175">SUM($F$2:$F$50*($C$2:$C$50=$Q$2))</f>
        <v>3.9319999999999999</v>
      </c>
      <c r="Y175" s="3">
        <f t="shared" si="12"/>
        <v>754.98331999999994</v>
      </c>
      <c r="Z175" s="3">
        <v>184.12</v>
      </c>
      <c r="AA175" s="2" cm="1">
        <f t="array" ref="AA175">SUM($F$2:$F$50*($C$2:$C$50=$Q$3))</f>
        <v>5.8030999999999997</v>
      </c>
      <c r="AB175" s="3">
        <f t="shared" si="13"/>
        <v>1068.466772</v>
      </c>
      <c r="AC175" s="3">
        <v>19.77</v>
      </c>
      <c r="AD175" s="2" cm="1">
        <f t="array" ref="AD175">SUM($F$2:$F$50*($C$2:$C$50=$Q$4))</f>
        <v>21.37</v>
      </c>
      <c r="AE175" s="3">
        <f t="shared" si="14"/>
        <v>422.48490000000004</v>
      </c>
      <c r="AF175" s="3">
        <v>16.41</v>
      </c>
      <c r="AG175" s="2" cm="1">
        <f t="array" ref="AG175">SUM($F$2:$F$50*($C$2:$C$50=$Q$5))</f>
        <v>43.272999999999996</v>
      </c>
      <c r="AH175" s="3">
        <f t="shared" si="15"/>
        <v>710.10992999999996</v>
      </c>
      <c r="AI175" s="3">
        <v>23.7</v>
      </c>
      <c r="AJ175" s="2" cm="1">
        <f t="array" ref="AJ175">SUM($F$2:$F$50*($C$2:$C$50=$Q$6))</f>
        <v>0</v>
      </c>
      <c r="AK175" s="3">
        <f t="shared" si="16"/>
        <v>0</v>
      </c>
      <c r="AL175" s="3">
        <v>16.86</v>
      </c>
      <c r="AM175" s="2" cm="1">
        <f t="array" ref="AM175">SUM($F$2:$F$50*($C$2:$C$50=$Q$8))</f>
        <v>0</v>
      </c>
      <c r="AN175" s="3">
        <f t="shared" si="17"/>
        <v>0</v>
      </c>
      <c r="AO175" s="3">
        <f>SUM(J2:J50)</f>
        <v>1362.5000000000005</v>
      </c>
      <c r="AP1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4318.544922000001</v>
      </c>
      <c r="AQ175" s="3" cm="1">
        <f t="array" aca="1" ref="AQ175" ca="1">OFFSET(Table7[[#This Row],[Investment Increase]],0,-1)-SUM($J$2:$J$50*($E$2:$E$50=$Q$31))</f>
        <v>879.54492200000095</v>
      </c>
    </row>
    <row r="176" spans="22:43" x14ac:dyDescent="0.45">
      <c r="V176" s="9">
        <v>44491</v>
      </c>
      <c r="W176" s="3">
        <v>190.3</v>
      </c>
      <c r="X176" s="2" cm="1">
        <f t="array" ref="X176">SUM($F$2:$F$50*($C$2:$C$50=$Q$2))</f>
        <v>3.9319999999999999</v>
      </c>
      <c r="Y176" s="3">
        <f t="shared" si="12"/>
        <v>748.25959999999998</v>
      </c>
      <c r="Z176" s="3">
        <v>182.4</v>
      </c>
      <c r="AA176" s="2" cm="1">
        <f t="array" ref="AA176">SUM($F$2:$F$50*($C$2:$C$50=$Q$3))</f>
        <v>5.8030999999999997</v>
      </c>
      <c r="AB176" s="3">
        <f t="shared" si="13"/>
        <v>1058.4854399999999</v>
      </c>
      <c r="AC176" s="3">
        <v>19.71</v>
      </c>
      <c r="AD176" s="2" cm="1">
        <f t="array" ref="AD176">SUM($F$2:$F$50*($C$2:$C$50=$Q$4))</f>
        <v>21.37</v>
      </c>
      <c r="AE176" s="3">
        <f t="shared" si="14"/>
        <v>421.20270000000005</v>
      </c>
      <c r="AF176" s="3">
        <v>16.329999999999998</v>
      </c>
      <c r="AG176" s="2" cm="1">
        <f t="array" ref="AG176">SUM($F$2:$F$50*($C$2:$C$50=$Q$5))</f>
        <v>43.272999999999996</v>
      </c>
      <c r="AH176" s="3">
        <f t="shared" si="15"/>
        <v>706.64808999999991</v>
      </c>
      <c r="AI176" s="3">
        <v>23.58</v>
      </c>
      <c r="AJ176" s="2" cm="1">
        <f t="array" ref="AJ176">SUM($F$2:$F$50*($C$2:$C$50=$Q$6))</f>
        <v>0</v>
      </c>
      <c r="AK176" s="3">
        <f t="shared" si="16"/>
        <v>0</v>
      </c>
      <c r="AL176" s="3">
        <v>16.600000000000001</v>
      </c>
      <c r="AM176" s="2" cm="1">
        <f t="array" ref="AM176">SUM($F$2:$F$50*($C$2:$C$50=$Q$8))</f>
        <v>0</v>
      </c>
      <c r="AN176" s="3">
        <f t="shared" si="17"/>
        <v>0</v>
      </c>
      <c r="AO176" s="3">
        <f>SUM(J2:J50)</f>
        <v>1362.5000000000005</v>
      </c>
      <c r="AP1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4297.0958300000002</v>
      </c>
      <c r="AQ176" s="3" cm="1">
        <f t="array" aca="1" ref="AQ176" ca="1">OFFSET(Table7[[#This Row],[Investment Increase]],0,-1)-SUM($J$2:$J$50*($E$2:$E$50=$Q$31))</f>
        <v>858.09583000000021</v>
      </c>
    </row>
    <row r="177" spans="22:43" x14ac:dyDescent="0.45">
      <c r="V177" s="9">
        <v>44490</v>
      </c>
      <c r="W177" s="3">
        <v>191.88</v>
      </c>
      <c r="X177" s="2" cm="1">
        <f t="array" ref="X177">SUM($F$2:$F$50*($C$2:$C$50=$Q$2))</f>
        <v>3.9319999999999999</v>
      </c>
      <c r="Y177" s="3">
        <f t="shared" si="12"/>
        <v>754.47215999999992</v>
      </c>
      <c r="Z177" s="3">
        <v>184.72</v>
      </c>
      <c r="AA177" s="2" cm="1">
        <f t="array" ref="AA177">SUM($F$2:$F$50*($C$2:$C$50=$Q$3))</f>
        <v>5.8030999999999997</v>
      </c>
      <c r="AB177" s="3">
        <f t="shared" si="13"/>
        <v>1071.9486319999999</v>
      </c>
      <c r="AC177" s="3">
        <v>19.98</v>
      </c>
      <c r="AD177" s="2" cm="1">
        <f t="array" ref="AD177">SUM($F$2:$F$50*($C$2:$C$50=$Q$4))</f>
        <v>21.37</v>
      </c>
      <c r="AE177" s="3">
        <f t="shared" si="14"/>
        <v>426.97260000000006</v>
      </c>
      <c r="AF177" s="3">
        <v>16.37</v>
      </c>
      <c r="AG177" s="2" cm="1">
        <f t="array" ref="AG177">SUM($F$2:$F$50*($C$2:$C$50=$Q$5))</f>
        <v>43.272999999999996</v>
      </c>
      <c r="AH177" s="3">
        <f t="shared" si="15"/>
        <v>708.37900999999999</v>
      </c>
      <c r="AI177" s="3">
        <v>23.62</v>
      </c>
      <c r="AJ177" s="2" cm="1">
        <f t="array" ref="AJ177">SUM($F$2:$F$50*($C$2:$C$50=$Q$6))</f>
        <v>0</v>
      </c>
      <c r="AK177" s="3">
        <f t="shared" si="16"/>
        <v>0</v>
      </c>
      <c r="AL177" s="3">
        <v>16.52</v>
      </c>
      <c r="AM177" s="2" cm="1">
        <f t="array" ref="AM177">SUM($F$2:$F$50*($C$2:$C$50=$Q$8))</f>
        <v>0</v>
      </c>
      <c r="AN177" s="3">
        <f t="shared" si="17"/>
        <v>0</v>
      </c>
      <c r="AO177" s="3">
        <f>SUM(J2:J50)</f>
        <v>1362.5000000000005</v>
      </c>
      <c r="AP1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4324.2724020000005</v>
      </c>
      <c r="AQ177" s="3" cm="1">
        <f t="array" aca="1" ref="AQ177" ca="1">OFFSET(Table7[[#This Row],[Investment Increase]],0,-1)-SUM($J$2:$J$50*($E$2:$E$50=$Q$31))</f>
        <v>885.27240200000051</v>
      </c>
    </row>
    <row r="178" spans="22:43" x14ac:dyDescent="0.45">
      <c r="V178" s="9">
        <v>44489</v>
      </c>
      <c r="W178" s="3">
        <v>190.7</v>
      </c>
      <c r="X178" s="2" cm="1">
        <f t="array" ref="X178">SUM($F$2:$F$50*($C$2:$C$50=$Q$2))</f>
        <v>3.9319999999999999</v>
      </c>
      <c r="Y178" s="3">
        <f t="shared" si="12"/>
        <v>749.83239999999989</v>
      </c>
      <c r="Z178" s="3">
        <v>183.18</v>
      </c>
      <c r="AA178" s="2" cm="1">
        <f t="array" ref="AA178">SUM($F$2:$F$50*($C$2:$C$50=$Q$3))</f>
        <v>5.8030999999999997</v>
      </c>
      <c r="AB178" s="3">
        <f t="shared" si="13"/>
        <v>1063.0118580000001</v>
      </c>
      <c r="AC178" s="3">
        <v>19.87</v>
      </c>
      <c r="AD178" s="2" cm="1">
        <f t="array" ref="AD178">SUM($F$2:$F$50*($C$2:$C$50=$Q$4))</f>
        <v>21.37</v>
      </c>
      <c r="AE178" s="3">
        <f t="shared" si="14"/>
        <v>424.62190000000004</v>
      </c>
      <c r="AF178" s="3">
        <v>16.309999999999999</v>
      </c>
      <c r="AG178" s="2" cm="1">
        <f t="array" ref="AG178">SUM($F$2:$F$50*($C$2:$C$50=$Q$5))</f>
        <v>43.272999999999996</v>
      </c>
      <c r="AH178" s="3">
        <f t="shared" si="15"/>
        <v>705.78262999999993</v>
      </c>
      <c r="AI178" s="3">
        <v>23.57</v>
      </c>
      <c r="AJ178" s="2" cm="1">
        <f t="array" ref="AJ178">SUM($F$2:$F$50*($C$2:$C$50=$Q$6))</f>
        <v>0</v>
      </c>
      <c r="AK178" s="3">
        <f t="shared" si="16"/>
        <v>0</v>
      </c>
      <c r="AL178" s="3">
        <v>16.850000000000001</v>
      </c>
      <c r="AM178" s="2" cm="1">
        <f t="array" ref="AM178">SUM($F$2:$F$50*($C$2:$C$50=$Q$8))</f>
        <v>0</v>
      </c>
      <c r="AN178" s="3">
        <f t="shared" si="17"/>
        <v>0</v>
      </c>
      <c r="AO178" s="3">
        <f>SUM(J2:J50)</f>
        <v>1362.5000000000005</v>
      </c>
      <c r="AP1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4305.7487880000008</v>
      </c>
      <c r="AQ178" s="3" cm="1">
        <f t="array" aca="1" ref="AQ178" ca="1">OFFSET(Table7[[#This Row],[Investment Increase]],0,-1)-SUM($J$2:$J$50*($E$2:$E$50=$Q$31))</f>
        <v>866.74878800000079</v>
      </c>
    </row>
    <row r="179" spans="22:43" x14ac:dyDescent="0.45">
      <c r="V179" s="9">
        <v>44488</v>
      </c>
      <c r="W179" s="3">
        <v>190.79</v>
      </c>
      <c r="X179" s="2" cm="1">
        <f t="array" ref="X179">SUM($F$2:$F$50*($C$2:$C$50=$Q$2))</f>
        <v>3.9319999999999999</v>
      </c>
      <c r="Y179" s="3">
        <f t="shared" si="12"/>
        <v>750.18628000000001</v>
      </c>
      <c r="Z179" s="3">
        <v>183.84</v>
      </c>
      <c r="AA179" s="2" cm="1">
        <f t="array" ref="AA179">SUM($F$2:$F$50*($C$2:$C$50=$Q$3))</f>
        <v>5.8030999999999997</v>
      </c>
      <c r="AB179" s="3">
        <f t="shared" si="13"/>
        <v>1066.8419039999999</v>
      </c>
      <c r="AC179" s="3">
        <v>19.920000000000002</v>
      </c>
      <c r="AD179" s="2" cm="1">
        <f t="array" ref="AD179">SUM($F$2:$F$50*($C$2:$C$50=$Q$4))</f>
        <v>21.37</v>
      </c>
      <c r="AE179" s="3">
        <f t="shared" si="14"/>
        <v>425.69040000000007</v>
      </c>
      <c r="AF179" s="3">
        <v>16.25</v>
      </c>
      <c r="AG179" s="2" cm="1">
        <f t="array" ref="AG179">SUM($F$2:$F$50*($C$2:$C$50=$Q$5))</f>
        <v>43.272999999999996</v>
      </c>
      <c r="AH179" s="3">
        <f t="shared" si="15"/>
        <v>703.18624999999997</v>
      </c>
      <c r="AI179" s="3">
        <v>23.47</v>
      </c>
      <c r="AJ179" s="2" cm="1">
        <f t="array" ref="AJ179">SUM($F$2:$F$50*($C$2:$C$50=$Q$6))</f>
        <v>0</v>
      </c>
      <c r="AK179" s="3">
        <f t="shared" si="16"/>
        <v>0</v>
      </c>
      <c r="AL179" s="3">
        <v>16.79</v>
      </c>
      <c r="AM179" s="2" cm="1">
        <f t="array" ref="AM179">SUM($F$2:$F$50*($C$2:$C$50=$Q$8))</f>
        <v>0</v>
      </c>
      <c r="AN179" s="3">
        <f t="shared" si="17"/>
        <v>0</v>
      </c>
      <c r="AO179" s="3">
        <f>SUM(J2:J50)</f>
        <v>1362.5000000000005</v>
      </c>
      <c r="AP1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4308.4048340000008</v>
      </c>
      <c r="AQ179" s="3" cm="1">
        <f t="array" aca="1" ref="AQ179" ca="1">OFFSET(Table7[[#This Row],[Investment Increase]],0,-1)-SUM($J$2:$J$50*($E$2:$E$50=$Q$31))</f>
        <v>869.40483400000085</v>
      </c>
    </row>
    <row r="180" spans="22:43" x14ac:dyDescent="0.45">
      <c r="V180" s="9">
        <v>44487</v>
      </c>
      <c r="W180" s="3">
        <v>189.45</v>
      </c>
      <c r="X180" s="2" cm="1">
        <f t="array" ref="X180">SUM($F$2:$F$50*($C$2:$C$50=$Q$2))</f>
        <v>3.9319999999999999</v>
      </c>
      <c r="Y180" s="3">
        <f t="shared" si="12"/>
        <v>744.91739999999993</v>
      </c>
      <c r="Z180" s="3">
        <v>182.8</v>
      </c>
      <c r="AA180" s="2" cm="1">
        <f t="array" ref="AA180">SUM($F$2:$F$50*($C$2:$C$50=$Q$3))</f>
        <v>5.8030999999999997</v>
      </c>
      <c r="AB180" s="3">
        <f t="shared" si="13"/>
        <v>1060.8066799999999</v>
      </c>
      <c r="AC180" s="3">
        <v>19.77</v>
      </c>
      <c r="AD180" s="2" cm="1">
        <f t="array" ref="AD180">SUM($F$2:$F$50*($C$2:$C$50=$Q$4))</f>
        <v>21.37</v>
      </c>
      <c r="AE180" s="3">
        <f t="shared" si="14"/>
        <v>422.48490000000004</v>
      </c>
      <c r="AF180" s="3">
        <v>16.13</v>
      </c>
      <c r="AG180" s="2" cm="1">
        <f t="array" ref="AG180">SUM($F$2:$F$50*($C$2:$C$50=$Q$5))</f>
        <v>43.272999999999996</v>
      </c>
      <c r="AH180" s="3">
        <f t="shared" si="15"/>
        <v>697.99348999999984</v>
      </c>
      <c r="AI180" s="3">
        <v>23.3</v>
      </c>
      <c r="AJ180" s="2" cm="1">
        <f t="array" ref="AJ180">SUM($F$2:$F$50*($C$2:$C$50=$Q$6))</f>
        <v>0</v>
      </c>
      <c r="AK180" s="3">
        <f t="shared" si="16"/>
        <v>0</v>
      </c>
      <c r="AL180" s="3">
        <v>16.7</v>
      </c>
      <c r="AM180" s="2" cm="1">
        <f t="array" ref="AM180">SUM($F$2:$F$50*($C$2:$C$50=$Q$8))</f>
        <v>0</v>
      </c>
      <c r="AN180" s="3">
        <f t="shared" si="17"/>
        <v>0</v>
      </c>
      <c r="AO180" s="3">
        <f>SUM(J2:J50)</f>
        <v>1362.5000000000005</v>
      </c>
      <c r="AP1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4288.7024700000002</v>
      </c>
      <c r="AQ180" s="3" cm="1">
        <f t="array" aca="1" ref="AQ180" ca="1">OFFSET(Table7[[#This Row],[Investment Increase]],0,-1)-SUM($J$2:$J$50*($E$2:$E$50=$Q$31))</f>
        <v>849.70247000000018</v>
      </c>
    </row>
    <row r="181" spans="22:43" x14ac:dyDescent="0.45">
      <c r="V181" s="9">
        <v>44484</v>
      </c>
      <c r="W181" s="3">
        <v>187.87</v>
      </c>
      <c r="X181" s="2" cm="1">
        <f t="array" ref="X181">SUM($F$2:$F$50*($C$2:$C$50=$Q$2))</f>
        <v>3.9319999999999999</v>
      </c>
      <c r="Y181" s="3">
        <f t="shared" si="12"/>
        <v>738.70483999999999</v>
      </c>
      <c r="Z181" s="3">
        <v>180.8</v>
      </c>
      <c r="AA181" s="2" cm="1">
        <f t="array" ref="AA181">SUM($F$2:$F$50*($C$2:$C$50=$Q$3))</f>
        <v>5.8030999999999997</v>
      </c>
      <c r="AB181" s="3">
        <f t="shared" si="13"/>
        <v>1049.20048</v>
      </c>
      <c r="AC181" s="3">
        <v>19.600000000000001</v>
      </c>
      <c r="AD181" s="2" cm="1">
        <f t="array" ref="AD181">SUM($F$2:$F$50*($C$2:$C$50=$Q$4))</f>
        <v>21.37</v>
      </c>
      <c r="AE181" s="3">
        <f t="shared" si="14"/>
        <v>418.85200000000003</v>
      </c>
      <c r="AF181" s="3">
        <v>16.07</v>
      </c>
      <c r="AG181" s="2" cm="1">
        <f t="array" ref="AG181">SUM($F$2:$F$50*($C$2:$C$50=$Q$5))</f>
        <v>43.272999999999996</v>
      </c>
      <c r="AH181" s="3">
        <f t="shared" si="15"/>
        <v>695.39711</v>
      </c>
      <c r="AI181" s="3">
        <v>23.22</v>
      </c>
      <c r="AJ181" s="2" cm="1">
        <f t="array" ref="AJ181">SUM($F$2:$F$50*($C$2:$C$50=$Q$6))</f>
        <v>0</v>
      </c>
      <c r="AK181" s="3">
        <f t="shared" si="16"/>
        <v>0</v>
      </c>
      <c r="AL181" s="3">
        <v>16.68</v>
      </c>
      <c r="AM181" s="2" cm="1">
        <f t="array" ref="AM181">SUM($F$2:$F$50*($C$2:$C$50=$Q$8))</f>
        <v>0</v>
      </c>
      <c r="AN181" s="3">
        <f t="shared" si="17"/>
        <v>0</v>
      </c>
      <c r="AO181" s="3">
        <f>SUM(J2:J50)</f>
        <v>1362.5000000000005</v>
      </c>
      <c r="AP1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4264.6544300000005</v>
      </c>
      <c r="AQ181" s="3" cm="1">
        <f t="array" aca="1" ref="AQ181" ca="1">OFFSET(Table7[[#This Row],[Investment Increase]],0,-1)-SUM($J$2:$J$50*($E$2:$E$50=$Q$31))</f>
        <v>825.6544300000005</v>
      </c>
    </row>
    <row r="182" spans="22:43" x14ac:dyDescent="0.45">
      <c r="V182" s="9">
        <v>44483</v>
      </c>
      <c r="W182" s="3">
        <v>186.94</v>
      </c>
      <c r="X182" s="2" cm="1">
        <f t="array" ref="X182">SUM($F$2:$F$50*($C$2:$C$50=$Q$2))</f>
        <v>3.9319999999999999</v>
      </c>
      <c r="Y182" s="3">
        <f t="shared" si="12"/>
        <v>735.04808000000003</v>
      </c>
      <c r="Z182" s="3">
        <v>179.57</v>
      </c>
      <c r="AA182" s="2" cm="1">
        <f t="array" ref="AA182">SUM($F$2:$F$50*($C$2:$C$50=$Q$3))</f>
        <v>5.8030999999999997</v>
      </c>
      <c r="AB182" s="3">
        <f t="shared" si="13"/>
        <v>1042.0626669999999</v>
      </c>
      <c r="AC182" s="3">
        <v>19.510000000000002</v>
      </c>
      <c r="AD182" s="2" cm="1">
        <f t="array" ref="AD182">SUM($F$2:$F$50*($C$2:$C$50=$Q$4))</f>
        <v>21.37</v>
      </c>
      <c r="AE182" s="3">
        <f t="shared" si="14"/>
        <v>416.92870000000005</v>
      </c>
      <c r="AF182" s="3">
        <v>15.95</v>
      </c>
      <c r="AG182" s="2" cm="1">
        <f t="array" ref="AG182">SUM($F$2:$F$50*($C$2:$C$50=$Q$5))</f>
        <v>43.272999999999996</v>
      </c>
      <c r="AH182" s="3">
        <f t="shared" si="15"/>
        <v>690.20434999999986</v>
      </c>
      <c r="AI182" s="3">
        <v>23.04</v>
      </c>
      <c r="AJ182" s="2" cm="1">
        <f t="array" ref="AJ182">SUM($F$2:$F$50*($C$2:$C$50=$Q$6))</f>
        <v>0</v>
      </c>
      <c r="AK182" s="3">
        <f t="shared" si="16"/>
        <v>0</v>
      </c>
      <c r="AL182" s="3">
        <v>16.54</v>
      </c>
      <c r="AM182" s="2" cm="1">
        <f t="array" ref="AM182">SUM($F$2:$F$50*($C$2:$C$50=$Q$8))</f>
        <v>0</v>
      </c>
      <c r="AN182" s="3">
        <f t="shared" si="17"/>
        <v>0</v>
      </c>
      <c r="AO182" s="3">
        <f>SUM(J2:J50)</f>
        <v>1362.5000000000005</v>
      </c>
      <c r="AP1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4246.743797000001</v>
      </c>
      <c r="AQ182" s="3" cm="1">
        <f t="array" aca="1" ref="AQ182" ca="1">OFFSET(Table7[[#This Row],[Investment Increase]],0,-1)-SUM($J$2:$J$50*($E$2:$E$50=$Q$31))</f>
        <v>807.743797000001</v>
      </c>
    </row>
    <row r="183" spans="22:43" x14ac:dyDescent="0.45">
      <c r="V183" s="9">
        <v>44482</v>
      </c>
      <c r="W183" s="3">
        <v>183.76</v>
      </c>
      <c r="X183" s="2" cm="1">
        <f t="array" ref="X183">SUM($F$2:$F$50*($C$2:$C$50=$Q$2))</f>
        <v>3.9319999999999999</v>
      </c>
      <c r="Y183" s="3">
        <f t="shared" si="12"/>
        <v>722.54431999999997</v>
      </c>
      <c r="Z183" s="3">
        <v>176.94</v>
      </c>
      <c r="AA183" s="2" cm="1">
        <f t="array" ref="AA183">SUM($F$2:$F$50*($C$2:$C$50=$Q$3))</f>
        <v>5.8030999999999997</v>
      </c>
      <c r="AB183" s="3">
        <f t="shared" si="13"/>
        <v>1026.800514</v>
      </c>
      <c r="AC183" s="3">
        <v>19.18</v>
      </c>
      <c r="AD183" s="2" cm="1">
        <f t="array" ref="AD183">SUM($F$2:$F$50*($C$2:$C$50=$Q$4))</f>
        <v>21.37</v>
      </c>
      <c r="AE183" s="3">
        <f t="shared" si="14"/>
        <v>409.8766</v>
      </c>
      <c r="AF183" s="3">
        <v>15.68</v>
      </c>
      <c r="AG183" s="2" cm="1">
        <f t="array" ref="AG183">SUM($F$2:$F$50*($C$2:$C$50=$Q$5))</f>
        <v>43.272999999999996</v>
      </c>
      <c r="AH183" s="3">
        <f t="shared" si="15"/>
        <v>678.52063999999996</v>
      </c>
      <c r="AI183" s="3">
        <v>22.65</v>
      </c>
      <c r="AJ183" s="2" cm="1">
        <f t="array" ref="AJ183">SUM($F$2:$F$50*($C$2:$C$50=$Q$6))</f>
        <v>0</v>
      </c>
      <c r="AK183" s="3">
        <f t="shared" si="16"/>
        <v>0</v>
      </c>
      <c r="AL183" s="3">
        <v>16.29</v>
      </c>
      <c r="AM183" s="2" cm="1">
        <f t="array" ref="AM183">SUM($F$2:$F$50*($C$2:$C$50=$Q$8))</f>
        <v>0</v>
      </c>
      <c r="AN183" s="3">
        <f t="shared" si="17"/>
        <v>0</v>
      </c>
      <c r="AO183" s="3">
        <f>SUM(J2:J50)</f>
        <v>1362.5000000000005</v>
      </c>
      <c r="AP1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4200.2420739999998</v>
      </c>
      <c r="AQ183" s="3" cm="1">
        <f t="array" aca="1" ref="AQ183" ca="1">OFFSET(Table7[[#This Row],[Investment Increase]],0,-1)-SUM($J$2:$J$50*($E$2:$E$50=$Q$31))</f>
        <v>761.24207399999977</v>
      </c>
    </row>
    <row r="184" spans="22:43" x14ac:dyDescent="0.45">
      <c r="V184" s="9">
        <v>44481</v>
      </c>
      <c r="W184" s="3">
        <v>182.44</v>
      </c>
      <c r="X184" s="2" cm="1">
        <f t="array" ref="X184">SUM($F$2:$F$50*($C$2:$C$50=$Q$2))</f>
        <v>3.9319999999999999</v>
      </c>
      <c r="Y184" s="3">
        <f t="shared" si="12"/>
        <v>717.35407999999995</v>
      </c>
      <c r="Z184" s="3">
        <v>175.35</v>
      </c>
      <c r="AA184" s="2" cm="1">
        <f t="array" ref="AA184">SUM($F$2:$F$50*($C$2:$C$50=$Q$3))</f>
        <v>5.8030999999999997</v>
      </c>
      <c r="AB184" s="3">
        <f t="shared" si="13"/>
        <v>1017.5735849999999</v>
      </c>
      <c r="AC184" s="3">
        <v>19.010000000000002</v>
      </c>
      <c r="AD184" s="2" cm="1">
        <f t="array" ref="AD184">SUM($F$2:$F$50*($C$2:$C$50=$Q$4))</f>
        <v>21.37</v>
      </c>
      <c r="AE184" s="3">
        <f t="shared" si="14"/>
        <v>406.24370000000005</v>
      </c>
      <c r="AF184" s="3">
        <v>15.62</v>
      </c>
      <c r="AG184" s="2" cm="1">
        <f t="array" ref="AG184">SUM($F$2:$F$50*($C$2:$C$50=$Q$5))</f>
        <v>43.272999999999996</v>
      </c>
      <c r="AH184" s="3">
        <f t="shared" si="15"/>
        <v>675.92425999999989</v>
      </c>
      <c r="AI184" s="3">
        <v>22.59</v>
      </c>
      <c r="AJ184" s="2" cm="1">
        <f t="array" ref="AJ184">SUM($F$2:$F$50*($C$2:$C$50=$Q$6))</f>
        <v>0</v>
      </c>
      <c r="AK184" s="3">
        <f t="shared" si="16"/>
        <v>0</v>
      </c>
      <c r="AL184" s="3">
        <v>16.239999999999998</v>
      </c>
      <c r="AM184" s="2" cm="1">
        <f t="array" ref="AM184">SUM($F$2:$F$50*($C$2:$C$50=$Q$8))</f>
        <v>0</v>
      </c>
      <c r="AN184" s="3">
        <f t="shared" si="17"/>
        <v>0</v>
      </c>
      <c r="AO184" s="3">
        <f>SUM(J2:J50)</f>
        <v>1362.5000000000005</v>
      </c>
      <c r="AP1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4179.5956249999999</v>
      </c>
      <c r="AQ184" s="3" cm="1">
        <f t="array" aca="1" ref="AQ184" ca="1">OFFSET(Table7[[#This Row],[Investment Increase]],0,-1)-SUM($J$2:$J$50*($E$2:$E$50=$Q$31))</f>
        <v>740.59562499999993</v>
      </c>
    </row>
    <row r="185" spans="22:43" x14ac:dyDescent="0.45">
      <c r="V185" s="9">
        <v>44480</v>
      </c>
      <c r="W185" s="3">
        <v>182.7</v>
      </c>
      <c r="X185" s="2" cm="1">
        <f t="array" ref="X185">SUM($F$2:$F$50*($C$2:$C$50=$Q$2))</f>
        <v>3.9319999999999999</v>
      </c>
      <c r="Y185" s="3">
        <f t="shared" si="12"/>
        <v>718.37639999999999</v>
      </c>
      <c r="Z185" s="3">
        <v>174.62</v>
      </c>
      <c r="AA185" s="2" cm="1">
        <f t="array" ref="AA185">SUM($F$2:$F$50*($C$2:$C$50=$Q$3))</f>
        <v>5.8030999999999997</v>
      </c>
      <c r="AB185" s="3">
        <f t="shared" si="13"/>
        <v>1013.337322</v>
      </c>
      <c r="AC185" s="3">
        <v>19.05</v>
      </c>
      <c r="AD185" s="2" cm="1">
        <f t="array" ref="AD185">SUM($F$2:$F$50*($C$2:$C$50=$Q$4))</f>
        <v>21.37</v>
      </c>
      <c r="AE185" s="3">
        <f t="shared" si="14"/>
        <v>407.09850000000006</v>
      </c>
      <c r="AF185" s="3">
        <v>15.65</v>
      </c>
      <c r="AG185" s="2" cm="1">
        <f t="array" ref="AG185">SUM($F$2:$F$50*($C$2:$C$50=$Q$5))</f>
        <v>43.272999999999996</v>
      </c>
      <c r="AH185" s="3">
        <f t="shared" si="15"/>
        <v>677.22244999999998</v>
      </c>
      <c r="AI185" s="3">
        <v>22.65</v>
      </c>
      <c r="AJ185" s="2" cm="1">
        <f t="array" ref="AJ185">SUM($F$2:$F$50*($C$2:$C$50=$Q$6))</f>
        <v>0</v>
      </c>
      <c r="AK185" s="3">
        <f t="shared" si="16"/>
        <v>0</v>
      </c>
      <c r="AL185" s="3">
        <v>16.25</v>
      </c>
      <c r="AM185" s="2" cm="1">
        <f t="array" ref="AM185">SUM($F$2:$F$50*($C$2:$C$50=$Q$8))</f>
        <v>0</v>
      </c>
      <c r="AN185" s="3">
        <f t="shared" si="17"/>
        <v>0</v>
      </c>
      <c r="AO185" s="3">
        <f>SUM(J2:J50)</f>
        <v>1362.5000000000005</v>
      </c>
      <c r="AP1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4178.5346719999998</v>
      </c>
      <c r="AQ185" s="3" cm="1">
        <f t="array" aca="1" ref="AQ185" ca="1">OFFSET(Table7[[#This Row],[Investment Increase]],0,-1)-SUM($J$2:$J$50*($E$2:$E$50=$Q$31))</f>
        <v>739.53467199999977</v>
      </c>
    </row>
    <row r="186" spans="22:43" x14ac:dyDescent="0.45">
      <c r="V186" s="9">
        <v>44477</v>
      </c>
      <c r="W186" s="3">
        <v>183.87</v>
      </c>
      <c r="X186" s="2" cm="1">
        <f t="array" ref="X186">SUM($F$2:$F$50*($C$2:$C$50=$Q$2))</f>
        <v>3.9319999999999999</v>
      </c>
      <c r="Y186" s="3">
        <f t="shared" si="12"/>
        <v>722.97684000000004</v>
      </c>
      <c r="Z186" s="3">
        <v>176.19</v>
      </c>
      <c r="AA186" s="2" cm="1">
        <f t="array" ref="AA186">SUM($F$2:$F$50*($C$2:$C$50=$Q$3))</f>
        <v>5.8030999999999997</v>
      </c>
      <c r="AB186" s="3">
        <f t="shared" si="13"/>
        <v>1022.448189</v>
      </c>
      <c r="AC186" s="3">
        <v>19.18</v>
      </c>
      <c r="AD186" s="2" cm="1">
        <f t="array" ref="AD186">SUM($F$2:$F$50*($C$2:$C$50=$Q$4))</f>
        <v>21.37</v>
      </c>
      <c r="AE186" s="3">
        <f t="shared" si="14"/>
        <v>409.8766</v>
      </c>
      <c r="AF186" s="3">
        <v>15.76</v>
      </c>
      <c r="AG186" s="2" cm="1">
        <f t="array" ref="AG186">SUM($F$2:$F$50*($C$2:$C$50=$Q$5))</f>
        <v>43.272999999999996</v>
      </c>
      <c r="AH186" s="3">
        <f t="shared" si="15"/>
        <v>681.9824799999999</v>
      </c>
      <c r="AI186" s="3">
        <v>22.8</v>
      </c>
      <c r="AJ186" s="2" cm="1">
        <f t="array" ref="AJ186">SUM($F$2:$F$50*($C$2:$C$50=$Q$6))</f>
        <v>0</v>
      </c>
      <c r="AK186" s="3">
        <f t="shared" si="16"/>
        <v>0</v>
      </c>
      <c r="AL186" s="3">
        <v>16.16</v>
      </c>
      <c r="AM186" s="2" cm="1">
        <f t="array" ref="AM186">SUM($F$2:$F$50*($C$2:$C$50=$Q$8))</f>
        <v>0</v>
      </c>
      <c r="AN186" s="3">
        <f t="shared" si="17"/>
        <v>0</v>
      </c>
      <c r="AO186" s="3">
        <f>SUM(J2:J50)</f>
        <v>1362.5000000000005</v>
      </c>
      <c r="AP1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4199.7841090000002</v>
      </c>
      <c r="AQ186" s="3" cm="1">
        <f t="array" aca="1" ref="AQ186" ca="1">OFFSET(Table7[[#This Row],[Investment Increase]],0,-1)-SUM($J$2:$J$50*($E$2:$E$50=$Q$31))</f>
        <v>760.78410900000017</v>
      </c>
    </row>
    <row r="187" spans="22:43" x14ac:dyDescent="0.45">
      <c r="V187" s="9">
        <v>44476</v>
      </c>
      <c r="W187" s="3">
        <v>184.81</v>
      </c>
      <c r="X187" s="2" cm="1">
        <f t="array" ref="X187">SUM($F$2:$F$50*($C$2:$C$50=$Q$2))</f>
        <v>3.9319999999999999</v>
      </c>
      <c r="Y187" s="3">
        <f t="shared" si="12"/>
        <v>726.67291999999998</v>
      </c>
      <c r="Z187" s="3">
        <v>177.16</v>
      </c>
      <c r="AA187" s="2" cm="1">
        <f t="array" ref="AA187">SUM($F$2:$F$50*($C$2:$C$50=$Q$3))</f>
        <v>5.8030999999999997</v>
      </c>
      <c r="AB187" s="3">
        <f t="shared" si="13"/>
        <v>1028.077196</v>
      </c>
      <c r="AC187" s="3">
        <v>19.21</v>
      </c>
      <c r="AD187" s="2" cm="1">
        <f t="array" ref="AD187">SUM($F$2:$F$50*($C$2:$C$50=$Q$4))</f>
        <v>21.37</v>
      </c>
      <c r="AE187" s="3">
        <f t="shared" si="14"/>
        <v>410.51770000000005</v>
      </c>
      <c r="AF187" s="3">
        <v>15.79</v>
      </c>
      <c r="AG187" s="2" cm="1">
        <f t="array" ref="AG187">SUM($F$2:$F$50*($C$2:$C$50=$Q$5))</f>
        <v>43.272999999999996</v>
      </c>
      <c r="AH187" s="3">
        <f t="shared" si="15"/>
        <v>683.28066999999987</v>
      </c>
      <c r="AI187" s="3">
        <v>22.82</v>
      </c>
      <c r="AJ187" s="2" cm="1">
        <f t="array" ref="AJ187">SUM($F$2:$F$50*($C$2:$C$50=$Q$6))</f>
        <v>0</v>
      </c>
      <c r="AK187" s="3">
        <f t="shared" si="16"/>
        <v>0</v>
      </c>
      <c r="AL187" s="3">
        <v>15.97</v>
      </c>
      <c r="AM187" s="2" cm="1">
        <f t="array" ref="AM187">SUM($F$2:$F$50*($C$2:$C$50=$Q$8))</f>
        <v>0</v>
      </c>
      <c r="AN187" s="3">
        <f t="shared" si="17"/>
        <v>0</v>
      </c>
      <c r="AO187" s="3">
        <f>SUM(J2:J50)</f>
        <v>1362.5000000000005</v>
      </c>
      <c r="AP1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4211.0484859999997</v>
      </c>
      <c r="AQ187" s="3" cm="1">
        <f t="array" aca="1" ref="AQ187" ca="1">OFFSET(Table7[[#This Row],[Investment Increase]],0,-1)-SUM($J$2:$J$50*($E$2:$E$50=$Q$31))</f>
        <v>772.04848599999968</v>
      </c>
    </row>
    <row r="188" spans="22:43" x14ac:dyDescent="0.45">
      <c r="V188" s="9">
        <v>44475</v>
      </c>
      <c r="W188" s="3">
        <v>182.9</v>
      </c>
      <c r="X188" s="2" cm="1">
        <f t="array" ref="X188">SUM($F$2:$F$50*($C$2:$C$50=$Q$2))</f>
        <v>3.9319999999999999</v>
      </c>
      <c r="Y188" s="3">
        <f t="shared" si="12"/>
        <v>719.16280000000006</v>
      </c>
      <c r="Z188" s="3">
        <v>174.83</v>
      </c>
      <c r="AA188" s="2" cm="1">
        <f t="array" ref="AA188">SUM($F$2:$F$50*($C$2:$C$50=$Q$3))</f>
        <v>5.8030999999999997</v>
      </c>
      <c r="AB188" s="3">
        <f t="shared" si="13"/>
        <v>1014.555973</v>
      </c>
      <c r="AC188" s="3">
        <v>18.97</v>
      </c>
      <c r="AD188" s="2" cm="1">
        <f t="array" ref="AD188">SUM($F$2:$F$50*($C$2:$C$50=$Q$4))</f>
        <v>21.37</v>
      </c>
      <c r="AE188" s="3">
        <f t="shared" si="14"/>
        <v>405.38889999999998</v>
      </c>
      <c r="AF188" s="3">
        <v>15.65</v>
      </c>
      <c r="AG188" s="2" cm="1">
        <f t="array" ref="AG188">SUM($F$2:$F$50*($C$2:$C$50=$Q$5))</f>
        <v>43.272999999999996</v>
      </c>
      <c r="AH188" s="3">
        <f t="shared" si="15"/>
        <v>677.22244999999998</v>
      </c>
      <c r="AI188" s="3">
        <v>22.62</v>
      </c>
      <c r="AJ188" s="2" cm="1">
        <f t="array" ref="AJ188">SUM($F$2:$F$50*($C$2:$C$50=$Q$6))</f>
        <v>0</v>
      </c>
      <c r="AK188" s="3">
        <f t="shared" si="16"/>
        <v>0</v>
      </c>
      <c r="AL188" s="3">
        <v>15.73</v>
      </c>
      <c r="AM188" s="2" cm="1">
        <f t="array" ref="AM188">SUM($F$2:$F$50*($C$2:$C$50=$Q$8))</f>
        <v>0</v>
      </c>
      <c r="AN188" s="3">
        <f t="shared" si="17"/>
        <v>0</v>
      </c>
      <c r="AO188" s="3">
        <f>SUM(J2:J50)</f>
        <v>1362.5000000000005</v>
      </c>
      <c r="AP1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4178.8301229999997</v>
      </c>
      <c r="AQ188" s="3" cm="1">
        <f t="array" aca="1" ref="AQ188" ca="1">OFFSET(Table7[[#This Row],[Investment Increase]],0,-1)-SUM($J$2:$J$50*($E$2:$E$50=$Q$31))</f>
        <v>739.83012299999973</v>
      </c>
    </row>
    <row r="189" spans="22:43" x14ac:dyDescent="0.45">
      <c r="V189" s="9">
        <v>44474</v>
      </c>
      <c r="W189" s="3">
        <v>182.03</v>
      </c>
      <c r="X189" s="2" cm="1">
        <f t="array" ref="X189">SUM($F$2:$F$50*($C$2:$C$50=$Q$2))</f>
        <v>3.9319999999999999</v>
      </c>
      <c r="Y189" s="3">
        <f t="shared" si="12"/>
        <v>715.74195999999995</v>
      </c>
      <c r="Z189" s="3">
        <v>173.61</v>
      </c>
      <c r="AA189" s="2" cm="1">
        <f t="array" ref="AA189">SUM($F$2:$F$50*($C$2:$C$50=$Q$3))</f>
        <v>5.8030999999999997</v>
      </c>
      <c r="AB189" s="3">
        <f t="shared" si="13"/>
        <v>1007.476191</v>
      </c>
      <c r="AC189" s="3">
        <v>18.809999999999999</v>
      </c>
      <c r="AD189" s="2" cm="1">
        <f t="array" ref="AD189">SUM($F$2:$F$50*($C$2:$C$50=$Q$4))</f>
        <v>21.37</v>
      </c>
      <c r="AE189" s="3">
        <f t="shared" si="14"/>
        <v>401.96969999999999</v>
      </c>
      <c r="AF189" s="3">
        <v>15.58</v>
      </c>
      <c r="AG189" s="2" cm="1">
        <f t="array" ref="AG189">SUM($F$2:$F$50*($C$2:$C$50=$Q$5))</f>
        <v>43.272999999999996</v>
      </c>
      <c r="AH189" s="3">
        <f t="shared" si="15"/>
        <v>674.19333999999992</v>
      </c>
      <c r="AI189" s="3">
        <v>22.54</v>
      </c>
      <c r="AJ189" s="2" cm="1">
        <f t="array" ref="AJ189">SUM($F$2:$F$50*($C$2:$C$50=$Q$6))</f>
        <v>0</v>
      </c>
      <c r="AK189" s="3">
        <f t="shared" si="16"/>
        <v>0</v>
      </c>
      <c r="AL189" s="3">
        <v>15.91</v>
      </c>
      <c r="AM189" s="2" cm="1">
        <f t="array" ref="AM189">SUM($F$2:$F$50*($C$2:$C$50=$Q$8))</f>
        <v>0</v>
      </c>
      <c r="AN189" s="3">
        <f t="shared" si="17"/>
        <v>0</v>
      </c>
      <c r="AO189" s="3">
        <f>SUM(J2:J50)</f>
        <v>1362.5000000000005</v>
      </c>
      <c r="AP1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4161.8811910000004</v>
      </c>
      <c r="AQ189" s="3" cm="1">
        <f t="array" aca="1" ref="AQ189" ca="1">OFFSET(Table7[[#This Row],[Investment Increase]],0,-1)-SUM($J$2:$J$50*($E$2:$E$50=$Q$31))</f>
        <v>722.8811910000004</v>
      </c>
    </row>
    <row r="190" spans="22:43" x14ac:dyDescent="0.45">
      <c r="V190" s="9">
        <v>44473</v>
      </c>
      <c r="W190" s="3">
        <v>179.77</v>
      </c>
      <c r="X190" s="2" cm="1">
        <f t="array" ref="X190">SUM($F$2:$F$50*($C$2:$C$50=$Q$2))</f>
        <v>3.9319999999999999</v>
      </c>
      <c r="Y190" s="3">
        <f t="shared" si="12"/>
        <v>706.85563999999999</v>
      </c>
      <c r="Z190" s="3">
        <v>171.52</v>
      </c>
      <c r="AA190" s="2" cm="1">
        <f t="array" ref="AA190">SUM($F$2:$F$50*($C$2:$C$50=$Q$3))</f>
        <v>5.8030999999999997</v>
      </c>
      <c r="AB190" s="3">
        <f t="shared" si="13"/>
        <v>995.347712</v>
      </c>
      <c r="AC190" s="3">
        <v>18.53</v>
      </c>
      <c r="AD190" s="2" cm="1">
        <f t="array" ref="AD190">SUM($F$2:$F$50*($C$2:$C$50=$Q$4))</f>
        <v>21.37</v>
      </c>
      <c r="AE190" s="3">
        <f t="shared" si="14"/>
        <v>395.98610000000002</v>
      </c>
      <c r="AF190" s="3">
        <v>15.41</v>
      </c>
      <c r="AG190" s="2" cm="1">
        <f t="array" ref="AG190">SUM($F$2:$F$50*($C$2:$C$50=$Q$5))</f>
        <v>43.272999999999996</v>
      </c>
      <c r="AH190" s="3">
        <f t="shared" si="15"/>
        <v>666.83692999999994</v>
      </c>
      <c r="AI190" s="3">
        <v>22.32</v>
      </c>
      <c r="AJ190" s="2" cm="1">
        <f t="array" ref="AJ190">SUM($F$2:$F$50*($C$2:$C$50=$Q$6))</f>
        <v>0</v>
      </c>
      <c r="AK190" s="3">
        <f t="shared" si="16"/>
        <v>0</v>
      </c>
      <c r="AL190" s="3">
        <v>15.76</v>
      </c>
      <c r="AM190" s="2" cm="1">
        <f t="array" ref="AM190">SUM($F$2:$F$50*($C$2:$C$50=$Q$8))</f>
        <v>0</v>
      </c>
      <c r="AN190" s="3">
        <f t="shared" si="17"/>
        <v>0</v>
      </c>
      <c r="AO190" s="3">
        <f>SUM(J2:J50)</f>
        <v>1362.5000000000005</v>
      </c>
      <c r="AP1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4127.526382</v>
      </c>
      <c r="AQ190" s="3" cm="1">
        <f t="array" aca="1" ref="AQ190" ca="1">OFFSET(Table7[[#This Row],[Investment Increase]],0,-1)-SUM($J$2:$J$50*($E$2:$E$50=$Q$31))</f>
        <v>688.52638200000001</v>
      </c>
    </row>
    <row r="191" spans="22:43" x14ac:dyDescent="0.45">
      <c r="V191" s="9">
        <v>44470</v>
      </c>
      <c r="W191" s="3">
        <v>183.66</v>
      </c>
      <c r="X191" s="2" cm="1">
        <f t="array" ref="X191">SUM($F$2:$F$49*($C$2:$C$49=$Q$2))</f>
        <v>3.9319999999999999</v>
      </c>
      <c r="Y191" s="3">
        <f t="shared" si="12"/>
        <v>722.15111999999999</v>
      </c>
      <c r="Z191" s="3">
        <v>175.82</v>
      </c>
      <c r="AA191" s="2" cm="1">
        <f t="array" ref="AA191">SUM($F$2:$F$49*($C$2:$C$49=$Q$3))</f>
        <v>5.8030999999999997</v>
      </c>
      <c r="AB191" s="3">
        <f t="shared" si="13"/>
        <v>1020.3010419999999</v>
      </c>
      <c r="AC191" s="3">
        <v>19.02</v>
      </c>
      <c r="AD191" s="2" cm="1">
        <f t="array" ref="AD191">SUM($F$2:$F$49*($C$2:$C$49=$Q$4))</f>
        <v>13.371</v>
      </c>
      <c r="AE191" s="3">
        <f t="shared" si="14"/>
        <v>254.31641999999999</v>
      </c>
      <c r="AF191" s="3">
        <v>15.63</v>
      </c>
      <c r="AG191" s="2" cm="1">
        <f t="array" ref="AG191">SUM($F$2:$F$49*($C$2:$C$49=$Q$5))</f>
        <v>43.272999999999996</v>
      </c>
      <c r="AH191" s="3">
        <f t="shared" si="15"/>
        <v>676.35699</v>
      </c>
      <c r="AI191" s="3">
        <v>22.61</v>
      </c>
      <c r="AJ191" s="2" cm="1">
        <f t="array" ref="AJ191">SUM($F$2:$F$49*($C$2:$C$49=$Q$6))</f>
        <v>0</v>
      </c>
      <c r="AK191" s="3">
        <f t="shared" si="16"/>
        <v>0</v>
      </c>
      <c r="AL191" s="3">
        <v>15.69</v>
      </c>
      <c r="AM191" s="2" cm="1">
        <f t="array" ref="AM191">SUM($F$2:$F$49*($C$2:$C$49=$Q$8))</f>
        <v>0</v>
      </c>
      <c r="AN191" s="3">
        <f t="shared" si="17"/>
        <v>0</v>
      </c>
      <c r="AO191" s="3">
        <f>SUM(J2:J49)</f>
        <v>1502.5000000000005</v>
      </c>
      <c r="AP1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4175.6255720000008</v>
      </c>
      <c r="AQ191" s="3" cm="1">
        <f t="array" aca="1" ref="AQ191" ca="1">OFFSET(Table7[[#This Row],[Investment Increase]],0,-1)-SUM($J$2:$J$49*($E$2:$E$49=$Q$31))</f>
        <v>736.62557200000083</v>
      </c>
    </row>
    <row r="192" spans="22:43" x14ac:dyDescent="0.45">
      <c r="V192" s="9">
        <v>44469</v>
      </c>
      <c r="W192" s="3">
        <v>182.16</v>
      </c>
      <c r="X192" s="2" cm="1">
        <f t="array" ref="X192">SUM($F$2:$F$49*($C$2:$C$49=$Q$2))</f>
        <v>3.9319999999999999</v>
      </c>
      <c r="Y192" s="3">
        <f t="shared" si="12"/>
        <v>716.25311999999997</v>
      </c>
      <c r="Z192" s="3">
        <v>174.1</v>
      </c>
      <c r="AA192" s="2" cm="1">
        <f t="array" ref="AA192">SUM($F$2:$F$49*($C$2:$C$49=$Q$3))</f>
        <v>5.8030999999999997</v>
      </c>
      <c r="AB192" s="3">
        <f t="shared" si="13"/>
        <v>1010.3197099999999</v>
      </c>
      <c r="AC192" s="3">
        <v>18.850000000000001</v>
      </c>
      <c r="AD192" s="2" cm="1">
        <f t="array" ref="AD192">SUM($F$2:$F$49*($C$2:$C$49=$Q$4))</f>
        <v>13.371</v>
      </c>
      <c r="AE192" s="3">
        <f t="shared" si="14"/>
        <v>252.04335000000003</v>
      </c>
      <c r="AF192" s="3">
        <v>15.46</v>
      </c>
      <c r="AG192" s="2" cm="1">
        <f t="array" ref="AG192">SUM($F$2:$F$49*($C$2:$C$49=$Q$5))</f>
        <v>43.272999999999996</v>
      </c>
      <c r="AH192" s="3">
        <f t="shared" si="15"/>
        <v>669.00058000000001</v>
      </c>
      <c r="AI192" s="3">
        <v>22.34</v>
      </c>
      <c r="AJ192" s="2" cm="1">
        <f t="array" ref="AJ192">SUM($F$2:$F$49*($C$2:$C$49=$Q$6))</f>
        <v>0</v>
      </c>
      <c r="AK192" s="3">
        <f t="shared" si="16"/>
        <v>0</v>
      </c>
      <c r="AL192" s="3">
        <v>15.43</v>
      </c>
      <c r="AM192" s="2" cm="1">
        <f t="array" ref="AM192">SUM($F$2:$F$49*($C$2:$C$49=$Q$8))</f>
        <v>0</v>
      </c>
      <c r="AN192" s="3">
        <f t="shared" si="17"/>
        <v>0</v>
      </c>
      <c r="AO192" s="3">
        <f>SUM(J2:J49)</f>
        <v>1502.5000000000005</v>
      </c>
      <c r="AP1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4150.1167600000008</v>
      </c>
      <c r="AQ192" s="3" cm="1">
        <f t="array" aca="1" ref="AQ192" ca="1">OFFSET(Table7[[#This Row],[Investment Increase]],0,-1)-SUM($J$2:$J$49*($E$2:$E$49=$Q$31))</f>
        <v>711.1167600000008</v>
      </c>
    </row>
    <row r="193" spans="22:43" x14ac:dyDescent="0.45">
      <c r="V193" s="9">
        <v>44468</v>
      </c>
      <c r="W193" s="3">
        <v>182.96</v>
      </c>
      <c r="X193" s="2" cm="1">
        <f t="array" ref="X193">SUM($F$2:$F$49*($C$2:$C$49=$Q$2))</f>
        <v>3.9319999999999999</v>
      </c>
      <c r="Y193" s="3">
        <f t="shared" si="12"/>
        <v>719.39872000000003</v>
      </c>
      <c r="Z193" s="3">
        <v>174.94</v>
      </c>
      <c r="AA193" s="2" cm="1">
        <f t="array" ref="AA193">SUM($F$2:$F$49*($C$2:$C$49=$Q$3))</f>
        <v>5.8030999999999997</v>
      </c>
      <c r="AB193" s="3">
        <f t="shared" si="13"/>
        <v>1015.194314</v>
      </c>
      <c r="AC193" s="3">
        <v>18.89</v>
      </c>
      <c r="AD193" s="2" cm="1">
        <f t="array" ref="AD193">SUM($F$2:$F$49*($C$2:$C$49=$Q$4))</f>
        <v>13.371</v>
      </c>
      <c r="AE193" s="3">
        <f t="shared" si="14"/>
        <v>252.57819000000001</v>
      </c>
      <c r="AF193" s="3">
        <v>15.63</v>
      </c>
      <c r="AG193" s="2" cm="1">
        <f t="array" ref="AG193">SUM($F$2:$F$49*($C$2:$C$49=$Q$5))</f>
        <v>43.272999999999996</v>
      </c>
      <c r="AH193" s="3">
        <f t="shared" si="15"/>
        <v>676.35699</v>
      </c>
      <c r="AI193" s="3">
        <v>22.61</v>
      </c>
      <c r="AJ193" s="2" cm="1">
        <f t="array" ref="AJ193">SUM($F$2:$F$49*($C$2:$C$49=$Q$6))</f>
        <v>0</v>
      </c>
      <c r="AK193" s="3">
        <f t="shared" si="16"/>
        <v>0</v>
      </c>
      <c r="AL193" s="3">
        <v>15.46</v>
      </c>
      <c r="AM193" s="2" cm="1">
        <f t="array" ref="AM193">SUM($F$2:$F$49*($C$2:$C$49=$Q$8))</f>
        <v>0</v>
      </c>
      <c r="AN193" s="3">
        <f t="shared" si="17"/>
        <v>0</v>
      </c>
      <c r="AO193" s="3">
        <f>SUM(J2:J49)</f>
        <v>1502.5000000000005</v>
      </c>
      <c r="AP1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4166.0282139999999</v>
      </c>
      <c r="AQ193" s="3" cm="1">
        <f t="array" aca="1" ref="AQ193" ca="1">OFFSET(Table7[[#This Row],[Investment Increase]],0,-1)-SUM($J$2:$J$49*($E$2:$E$49=$Q$31))</f>
        <v>727.02821399999993</v>
      </c>
    </row>
    <row r="194" spans="22:43" x14ac:dyDescent="0.45">
      <c r="V194" s="9">
        <v>44467</v>
      </c>
      <c r="W194" s="3">
        <v>183.38</v>
      </c>
      <c r="X194" s="2" cm="1">
        <f t="array" ref="X194">SUM($F$2:$F$49*($C$2:$C$49=$Q$2))</f>
        <v>3.9319999999999999</v>
      </c>
      <c r="Y194" s="3">
        <f t="shared" ref="Y194:Y257" si="18">PRODUCT(W194,X194)</f>
        <v>721.05016000000001</v>
      </c>
      <c r="Z194" s="3">
        <v>175.83</v>
      </c>
      <c r="AA194" s="2" cm="1">
        <f t="array" ref="AA194">SUM($F$2:$F$49*($C$2:$C$49=$Q$3))</f>
        <v>5.8030999999999997</v>
      </c>
      <c r="AB194" s="3">
        <f t="shared" ref="AB194:AB257" si="19">PRODUCT(Z194,AA194)</f>
        <v>1020.359073</v>
      </c>
      <c r="AC194" s="3">
        <v>18.98</v>
      </c>
      <c r="AD194" s="2" cm="1">
        <f t="array" ref="AD194">SUM($F$2:$F$49*($C$2:$C$49=$Q$4))</f>
        <v>13.371</v>
      </c>
      <c r="AE194" s="3">
        <f t="shared" ref="AE194:AE257" si="20">PRODUCT(AC194,AD194)</f>
        <v>253.78158000000002</v>
      </c>
      <c r="AF194" s="3">
        <v>15.61</v>
      </c>
      <c r="AG194" s="2" cm="1">
        <f t="array" ref="AG194">SUM($F$2:$F$49*($C$2:$C$49=$Q$5))</f>
        <v>43.272999999999996</v>
      </c>
      <c r="AH194" s="3">
        <f t="shared" ref="AH194:AH257" si="21">PRODUCT(AF194,AG194)</f>
        <v>675.4915299999999</v>
      </c>
      <c r="AI194" s="3">
        <v>22.57</v>
      </c>
      <c r="AJ194" s="2" cm="1">
        <f t="array" ref="AJ194">SUM($F$2:$F$49*($C$2:$C$49=$Q$6))</f>
        <v>0</v>
      </c>
      <c r="AK194" s="3">
        <f t="shared" ref="AK194:AK257" si="22">PRODUCT(AI194,AJ194)</f>
        <v>0</v>
      </c>
      <c r="AL194" s="3">
        <v>15.51</v>
      </c>
      <c r="AM194" s="2" cm="1">
        <f t="array" ref="AM194">SUM($F$2:$F$49*($C$2:$C$49=$Q$8))</f>
        <v>0</v>
      </c>
      <c r="AN194" s="3">
        <f t="shared" ref="AN194:AN257" si="23">PRODUCT(AL194,AM194)</f>
        <v>0</v>
      </c>
      <c r="AO194" s="3">
        <f>SUM(J2:J49)</f>
        <v>1502.5000000000005</v>
      </c>
      <c r="AP1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4173.1823430000004</v>
      </c>
      <c r="AQ194" s="3" cm="1">
        <f t="array" aca="1" ref="AQ194" ca="1">OFFSET(Table7[[#This Row],[Investment Increase]],0,-1)-SUM($J$2:$J$49*($E$2:$E$49=$Q$31))</f>
        <v>734.1823430000004</v>
      </c>
    </row>
    <row r="195" spans="22:43" x14ac:dyDescent="0.45">
      <c r="V195" s="9">
        <v>44466</v>
      </c>
      <c r="W195" s="3">
        <v>188.7</v>
      </c>
      <c r="X195" s="2" cm="1">
        <f t="array" ref="X195">SUM($F$2:$F$49*($C$2:$C$49=$Q$2))</f>
        <v>3.9319999999999999</v>
      </c>
      <c r="Y195" s="3">
        <f t="shared" si="18"/>
        <v>741.96839999999997</v>
      </c>
      <c r="Z195" s="3">
        <v>181.4</v>
      </c>
      <c r="AA195" s="2" cm="1">
        <f t="array" ref="AA195">SUM($F$2:$F$49*($C$2:$C$49=$Q$3))</f>
        <v>5.8030999999999997</v>
      </c>
      <c r="AB195" s="3">
        <f t="shared" si="19"/>
        <v>1052.6823400000001</v>
      </c>
      <c r="AC195" s="3">
        <v>19.600000000000001</v>
      </c>
      <c r="AD195" s="2" cm="1">
        <f t="array" ref="AD195">SUM($F$2:$F$49*($C$2:$C$49=$Q$4))</f>
        <v>13.371</v>
      </c>
      <c r="AE195" s="3">
        <f t="shared" si="20"/>
        <v>262.07160000000005</v>
      </c>
      <c r="AF195" s="3">
        <v>15.95</v>
      </c>
      <c r="AG195" s="2" cm="1">
        <f t="array" ref="AG195">SUM($F$2:$F$49*($C$2:$C$49=$Q$5))</f>
        <v>43.272999999999996</v>
      </c>
      <c r="AH195" s="3">
        <f t="shared" si="21"/>
        <v>690.20434999999986</v>
      </c>
      <c r="AI195" s="3">
        <v>23.02</v>
      </c>
      <c r="AJ195" s="2" cm="1">
        <f t="array" ref="AJ195">SUM($F$2:$F$49*($C$2:$C$49=$Q$6))</f>
        <v>0</v>
      </c>
      <c r="AK195" s="3">
        <f t="shared" si="22"/>
        <v>0</v>
      </c>
      <c r="AL195" s="3">
        <v>15.67</v>
      </c>
      <c r="AM195" s="2" cm="1">
        <f t="array" ref="AM195">SUM($F$2:$F$49*($C$2:$C$49=$Q$8))</f>
        <v>0</v>
      </c>
      <c r="AN195" s="3">
        <f t="shared" si="23"/>
        <v>0</v>
      </c>
      <c r="AO195" s="3">
        <f>SUM(J2:J49)</f>
        <v>1502.5000000000005</v>
      </c>
      <c r="AP1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4249.4266900000002</v>
      </c>
      <c r="AQ195" s="3" cm="1">
        <f t="array" aca="1" ref="AQ195" ca="1">OFFSET(Table7[[#This Row],[Investment Increase]],0,-1)-SUM($J$2:$J$49*($E$2:$E$49=$Q$31))</f>
        <v>810.42669000000024</v>
      </c>
    </row>
    <row r="196" spans="22:43" x14ac:dyDescent="0.45">
      <c r="V196" s="9">
        <v>44463</v>
      </c>
      <c r="W196" s="3">
        <v>189.68</v>
      </c>
      <c r="X196" s="2" cm="1">
        <f t="array" ref="X196">SUM($F$2:$F$49*($C$2:$C$49=$Q$2))</f>
        <v>3.9319999999999999</v>
      </c>
      <c r="Y196" s="3">
        <f t="shared" si="18"/>
        <v>745.82176000000004</v>
      </c>
      <c r="Z196" s="3">
        <v>182.32</v>
      </c>
      <c r="AA196" s="2" cm="1">
        <f t="array" ref="AA196">SUM($F$2:$F$49*($C$2:$C$49=$Q$3))</f>
        <v>5.8030999999999997</v>
      </c>
      <c r="AB196" s="3">
        <f t="shared" si="19"/>
        <v>1058.0211919999999</v>
      </c>
      <c r="AC196" s="3">
        <v>19.75</v>
      </c>
      <c r="AD196" s="2" cm="1">
        <f t="array" ref="AD196">SUM($F$2:$F$49*($C$2:$C$49=$Q$4))</f>
        <v>13.371</v>
      </c>
      <c r="AE196" s="3">
        <f t="shared" si="20"/>
        <v>264.07724999999999</v>
      </c>
      <c r="AF196" s="3">
        <v>16.010000000000002</v>
      </c>
      <c r="AG196" s="2" cm="1">
        <f t="array" ref="AG196">SUM($F$2:$F$49*($C$2:$C$49=$Q$5))</f>
        <v>43.272999999999996</v>
      </c>
      <c r="AH196" s="3">
        <f t="shared" si="21"/>
        <v>692.80073000000004</v>
      </c>
      <c r="AI196" s="3">
        <v>23.04</v>
      </c>
      <c r="AJ196" s="2" cm="1">
        <f t="array" ref="AJ196">SUM($F$2:$F$49*($C$2:$C$49=$Q$6))</f>
        <v>0</v>
      </c>
      <c r="AK196" s="3">
        <f t="shared" si="22"/>
        <v>0</v>
      </c>
      <c r="AL196" s="3">
        <v>15.36</v>
      </c>
      <c r="AM196" s="2" cm="1">
        <f t="array" ref="AM196">SUM($F$2:$F$49*($C$2:$C$49=$Q$8))</f>
        <v>0</v>
      </c>
      <c r="AN196" s="3">
        <f t="shared" si="23"/>
        <v>0</v>
      </c>
      <c r="AO196" s="3">
        <f>SUM(J2:J49)</f>
        <v>1502.5000000000005</v>
      </c>
      <c r="AP1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4263.2209320000002</v>
      </c>
      <c r="AQ196" s="3" cm="1">
        <f t="array" aca="1" ref="AQ196" ca="1">OFFSET(Table7[[#This Row],[Investment Increase]],0,-1)-SUM($J$2:$J$49*($E$2:$E$49=$Q$31))</f>
        <v>824.22093200000018</v>
      </c>
    </row>
    <row r="197" spans="22:43" x14ac:dyDescent="0.45">
      <c r="V197" s="9">
        <v>44462</v>
      </c>
      <c r="W197" s="3">
        <v>189.73</v>
      </c>
      <c r="X197" s="2" cm="1">
        <f t="array" ref="X197">SUM($F$2:$F$49*($C$2:$C$49=$Q$2))</f>
        <v>3.9319999999999999</v>
      </c>
      <c r="Y197" s="3">
        <f t="shared" si="18"/>
        <v>746.01835999999992</v>
      </c>
      <c r="Z197" s="3">
        <v>182.42</v>
      </c>
      <c r="AA197" s="2" cm="1">
        <f t="array" ref="AA197">SUM($F$2:$F$49*($C$2:$C$49=$Q$3))</f>
        <v>5.8030999999999997</v>
      </c>
      <c r="AB197" s="3">
        <f t="shared" si="19"/>
        <v>1058.601502</v>
      </c>
      <c r="AC197" s="3">
        <v>19.73</v>
      </c>
      <c r="AD197" s="2" cm="1">
        <f t="array" ref="AD197">SUM($F$2:$F$49*($C$2:$C$49=$Q$4))</f>
        <v>13.371</v>
      </c>
      <c r="AE197" s="3">
        <f t="shared" si="20"/>
        <v>263.80983000000003</v>
      </c>
      <c r="AF197" s="3">
        <v>15.99</v>
      </c>
      <c r="AG197" s="2" cm="1">
        <f t="array" ref="AG197">SUM($F$2:$F$49*($C$2:$C$49=$Q$5))</f>
        <v>43.272999999999996</v>
      </c>
      <c r="AH197" s="3">
        <f t="shared" si="21"/>
        <v>691.93526999999995</v>
      </c>
      <c r="AI197" s="3">
        <v>23</v>
      </c>
      <c r="AJ197" s="2" cm="1">
        <f t="array" ref="AJ197">SUM($F$2:$F$49*($C$2:$C$49=$Q$6))</f>
        <v>0</v>
      </c>
      <c r="AK197" s="3">
        <f t="shared" si="22"/>
        <v>0</v>
      </c>
      <c r="AL197" s="3">
        <v>15.37</v>
      </c>
      <c r="AM197" s="2" cm="1">
        <f t="array" ref="AM197">SUM($F$2:$F$49*($C$2:$C$49=$Q$8))</f>
        <v>0</v>
      </c>
      <c r="AN197" s="3">
        <f t="shared" si="23"/>
        <v>0</v>
      </c>
      <c r="AO197" s="3">
        <f>SUM(J2:J49)</f>
        <v>1502.5000000000005</v>
      </c>
      <c r="AP1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4262.8649620000006</v>
      </c>
      <c r="AQ197" s="3" cm="1">
        <f t="array" aca="1" ref="AQ197" ca="1">OFFSET(Table7[[#This Row],[Investment Increase]],0,-1)-SUM($J$2:$J$49*($E$2:$E$49=$Q$31))</f>
        <v>823.86496200000056</v>
      </c>
    </row>
    <row r="198" spans="22:43" x14ac:dyDescent="0.45">
      <c r="V198" s="9">
        <v>44461</v>
      </c>
      <c r="W198" s="3">
        <v>187.76</v>
      </c>
      <c r="X198" s="2" cm="1">
        <f t="array" ref="X198">SUM($F$2:$F$49*($C$2:$C$49=$Q$2))</f>
        <v>3.9319999999999999</v>
      </c>
      <c r="Y198" s="3">
        <f t="shared" si="18"/>
        <v>738.27231999999992</v>
      </c>
      <c r="Z198" s="3">
        <v>180.1</v>
      </c>
      <c r="AA198" s="2" cm="1">
        <f t="array" ref="AA198">SUM($F$2:$F$49*($C$2:$C$49=$Q$3))</f>
        <v>5.8030999999999997</v>
      </c>
      <c r="AB198" s="3">
        <f t="shared" si="19"/>
        <v>1045.1383099999998</v>
      </c>
      <c r="AC198" s="3">
        <v>19.510000000000002</v>
      </c>
      <c r="AD198" s="2" cm="1">
        <f t="array" ref="AD198">SUM($F$2:$F$49*($C$2:$C$49=$Q$4))</f>
        <v>13.371</v>
      </c>
      <c r="AE198" s="3">
        <f t="shared" si="20"/>
        <v>260.86821000000003</v>
      </c>
      <c r="AF198" s="3">
        <v>15.8</v>
      </c>
      <c r="AG198" s="2" cm="1">
        <f t="array" ref="AG198">SUM($F$2:$F$49*($C$2:$C$49=$Q$5))</f>
        <v>43.272999999999996</v>
      </c>
      <c r="AH198" s="3">
        <f t="shared" si="21"/>
        <v>683.71339999999998</v>
      </c>
      <c r="AI198" s="3">
        <v>22.72</v>
      </c>
      <c r="AJ198" s="2" cm="1">
        <f t="array" ref="AJ198">SUM($F$2:$F$49*($C$2:$C$49=$Q$6))</f>
        <v>0</v>
      </c>
      <c r="AK198" s="3">
        <f t="shared" si="22"/>
        <v>0</v>
      </c>
      <c r="AL198" s="3">
        <v>15.06</v>
      </c>
      <c r="AM198" s="2" cm="1">
        <f t="array" ref="AM198">SUM($F$2:$F$49*($C$2:$C$49=$Q$8))</f>
        <v>0</v>
      </c>
      <c r="AN198" s="3">
        <f t="shared" si="23"/>
        <v>0</v>
      </c>
      <c r="AO198" s="3">
        <f>SUM(J2:J49)</f>
        <v>1502.5000000000005</v>
      </c>
      <c r="AP1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4230.4922400000005</v>
      </c>
      <c r="AQ198" s="3" cm="1">
        <f t="array" aca="1" ref="AQ198" ca="1">OFFSET(Table7[[#This Row],[Investment Increase]],0,-1)-SUM($J$2:$J$49*($E$2:$E$49=$Q$31))</f>
        <v>791.49224000000049</v>
      </c>
    </row>
    <row r="199" spans="22:43" x14ac:dyDescent="0.45">
      <c r="V199" s="9">
        <v>44460</v>
      </c>
      <c r="W199" s="3">
        <v>185.86</v>
      </c>
      <c r="X199" s="2" cm="1">
        <f t="array" ref="X199">SUM($F$2:$F$49*($C$2:$C$49=$Q$2))</f>
        <v>3.9319999999999999</v>
      </c>
      <c r="Y199" s="3">
        <f t="shared" si="18"/>
        <v>730.8015200000001</v>
      </c>
      <c r="Z199" s="3">
        <v>177.98</v>
      </c>
      <c r="AA199" s="2" cm="1">
        <f t="array" ref="AA199">SUM($F$2:$F$49*($C$2:$C$49=$Q$3))</f>
        <v>5.8030999999999997</v>
      </c>
      <c r="AB199" s="3">
        <f t="shared" si="19"/>
        <v>1032.835738</v>
      </c>
      <c r="AC199" s="3">
        <v>19.309999999999999</v>
      </c>
      <c r="AD199" s="2" cm="1">
        <f t="array" ref="AD199">SUM($F$2:$F$49*($C$2:$C$49=$Q$4))</f>
        <v>13.371</v>
      </c>
      <c r="AE199" s="3">
        <f t="shared" si="20"/>
        <v>258.19400999999999</v>
      </c>
      <c r="AF199" s="3">
        <v>15.66</v>
      </c>
      <c r="AG199" s="2" cm="1">
        <f t="array" ref="AG199">SUM($F$2:$F$49*($C$2:$C$49=$Q$5))</f>
        <v>43.272999999999996</v>
      </c>
      <c r="AH199" s="3">
        <f t="shared" si="21"/>
        <v>677.65517999999997</v>
      </c>
      <c r="AI199" s="3">
        <v>22.52</v>
      </c>
      <c r="AJ199" s="2" cm="1">
        <f t="array" ref="AJ199">SUM($F$2:$F$49*($C$2:$C$49=$Q$6))</f>
        <v>0</v>
      </c>
      <c r="AK199" s="3">
        <f t="shared" si="22"/>
        <v>0</v>
      </c>
      <c r="AL199" s="3">
        <v>14.77</v>
      </c>
      <c r="AM199" s="2" cm="1">
        <f t="array" ref="AM199">SUM($F$2:$F$49*($C$2:$C$49=$Q$8))</f>
        <v>0</v>
      </c>
      <c r="AN199" s="3">
        <f t="shared" si="23"/>
        <v>0</v>
      </c>
      <c r="AO199" s="3">
        <f>SUM(J2:J49)</f>
        <v>1502.5000000000005</v>
      </c>
      <c r="AP1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4201.9864480000006</v>
      </c>
      <c r="AQ199" s="3" cm="1">
        <f t="array" aca="1" ref="AQ199" ca="1">OFFSET(Table7[[#This Row],[Investment Increase]],0,-1)-SUM($J$2:$J$49*($E$2:$E$49=$Q$31))</f>
        <v>762.98644800000056</v>
      </c>
    </row>
    <row r="200" spans="22:43" x14ac:dyDescent="0.45">
      <c r="V200" s="9">
        <v>44459</v>
      </c>
      <c r="W200" s="3">
        <v>185.45</v>
      </c>
      <c r="X200" s="2" cm="1">
        <f t="array" ref="X200">SUM($F$2:$F$49*($C$2:$C$49=$Q$2))</f>
        <v>3.9319999999999999</v>
      </c>
      <c r="Y200" s="3">
        <f t="shared" si="18"/>
        <v>729.18939999999998</v>
      </c>
      <c r="Z200" s="3">
        <v>176.83</v>
      </c>
      <c r="AA200" s="2" cm="1">
        <f t="array" ref="AA200">SUM($F$2:$F$49*($C$2:$C$49=$Q$3))</f>
        <v>5.8030999999999997</v>
      </c>
      <c r="AB200" s="3">
        <f t="shared" si="19"/>
        <v>1026.1621729999999</v>
      </c>
      <c r="AC200" s="3">
        <v>19.23</v>
      </c>
      <c r="AD200" s="2" cm="1">
        <f t="array" ref="AD200">SUM($F$2:$F$49*($C$2:$C$49=$Q$4))</f>
        <v>13.371</v>
      </c>
      <c r="AE200" s="3">
        <f t="shared" si="20"/>
        <v>257.12432999999999</v>
      </c>
      <c r="AF200" s="3">
        <v>15.66</v>
      </c>
      <c r="AG200" s="2" cm="1">
        <f t="array" ref="AG200">SUM($F$2:$F$49*($C$2:$C$49=$Q$5))</f>
        <v>43.272999999999996</v>
      </c>
      <c r="AH200" s="3">
        <f t="shared" si="21"/>
        <v>677.65517999999997</v>
      </c>
      <c r="AI200" s="3">
        <v>22.53</v>
      </c>
      <c r="AJ200" s="2" cm="1">
        <f t="array" ref="AJ200">SUM($F$2:$F$49*($C$2:$C$49=$Q$6))</f>
        <v>0</v>
      </c>
      <c r="AK200" s="3">
        <f t="shared" si="22"/>
        <v>0</v>
      </c>
      <c r="AL200" s="3">
        <v>14.72</v>
      </c>
      <c r="AM200" s="2" cm="1">
        <f t="array" ref="AM200">SUM($F$2:$F$49*($C$2:$C$49=$Q$8))</f>
        <v>0</v>
      </c>
      <c r="AN200" s="3">
        <f t="shared" si="23"/>
        <v>0</v>
      </c>
      <c r="AO200" s="3">
        <f>SUM(J2:J49)</f>
        <v>1502.5000000000005</v>
      </c>
      <c r="AP2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4192.6310830000002</v>
      </c>
      <c r="AQ200" s="3" cm="1">
        <f t="array" aca="1" ref="AQ200" ca="1">OFFSET(Table7[[#This Row],[Investment Increase]],0,-1)-SUM($J$2:$J$49*($E$2:$E$49=$Q$31))</f>
        <v>753.63108300000022</v>
      </c>
    </row>
    <row r="201" spans="22:43" x14ac:dyDescent="0.45">
      <c r="V201" s="9">
        <v>44456</v>
      </c>
      <c r="W201" s="3">
        <v>189.6</v>
      </c>
      <c r="X201" s="2" cm="1">
        <f t="array" ref="X201">SUM($F$2:$F$49*($C$2:$C$49=$Q$2))</f>
        <v>3.9319999999999999</v>
      </c>
      <c r="Y201" s="3">
        <f t="shared" si="18"/>
        <v>745.50720000000001</v>
      </c>
      <c r="Z201" s="3">
        <v>180.91</v>
      </c>
      <c r="AA201" s="2" cm="1">
        <f t="array" ref="AA201">SUM($F$2:$F$49*($C$2:$C$49=$Q$3))</f>
        <v>5.8030999999999997</v>
      </c>
      <c r="AB201" s="3">
        <f t="shared" si="19"/>
        <v>1049.8388209999998</v>
      </c>
      <c r="AC201" s="3">
        <v>19.649999999999999</v>
      </c>
      <c r="AD201" s="2" cm="1">
        <f t="array" ref="AD201">SUM($F$2:$F$49*($C$2:$C$49=$Q$4))</f>
        <v>13.371</v>
      </c>
      <c r="AE201" s="3">
        <f t="shared" si="20"/>
        <v>262.74014999999997</v>
      </c>
      <c r="AF201" s="3">
        <v>15.93</v>
      </c>
      <c r="AG201" s="2" cm="1">
        <f t="array" ref="AG201">SUM($F$2:$F$49*($C$2:$C$49=$Q$5))</f>
        <v>43.272999999999996</v>
      </c>
      <c r="AH201" s="3">
        <f t="shared" si="21"/>
        <v>689.33888999999988</v>
      </c>
      <c r="AI201" s="3">
        <v>22.93</v>
      </c>
      <c r="AJ201" s="2" cm="1">
        <f t="array" ref="AJ201">SUM($F$2:$F$49*($C$2:$C$49=$Q$6))</f>
        <v>0</v>
      </c>
      <c r="AK201" s="3">
        <f t="shared" si="22"/>
        <v>0</v>
      </c>
      <c r="AL201" s="3">
        <v>15.17</v>
      </c>
      <c r="AM201" s="2" cm="1">
        <f t="array" ref="AM201">SUM($F$2:$F$49*($C$2:$C$49=$Q$8))</f>
        <v>0</v>
      </c>
      <c r="AN201" s="3">
        <f t="shared" si="23"/>
        <v>0</v>
      </c>
      <c r="AO201" s="3">
        <f>SUM(J2:J49)</f>
        <v>1502.5000000000005</v>
      </c>
      <c r="AP2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4249.9250609999999</v>
      </c>
      <c r="AQ201" s="3" cm="1">
        <f t="array" aca="1" ref="AQ201" ca="1">OFFSET(Table7[[#This Row],[Investment Increase]],0,-1)-SUM($J$2:$J$49*($E$2:$E$49=$Q$31))</f>
        <v>810.92506099999991</v>
      </c>
    </row>
    <row r="202" spans="22:43" x14ac:dyDescent="0.45">
      <c r="V202" s="9">
        <v>44455</v>
      </c>
      <c r="W202" s="3">
        <v>191.33</v>
      </c>
      <c r="X202" s="2" cm="1">
        <f t="array" ref="X202">SUM($F$2:$F$49*($C$2:$C$49=$Q$2))</f>
        <v>3.9319999999999999</v>
      </c>
      <c r="Y202" s="3">
        <f t="shared" si="18"/>
        <v>752.30956000000003</v>
      </c>
      <c r="Z202" s="3">
        <v>182.6</v>
      </c>
      <c r="AA202" s="2" cm="1">
        <f t="array" ref="AA202">SUM($F$2:$F$49*($C$2:$C$49=$Q$3))</f>
        <v>5.8030999999999997</v>
      </c>
      <c r="AB202" s="3">
        <f t="shared" si="19"/>
        <v>1059.6460599999998</v>
      </c>
      <c r="AC202" s="3">
        <v>19.86</v>
      </c>
      <c r="AD202" s="2" cm="1">
        <f t="array" ref="AD202">SUM($F$2:$F$49*($C$2:$C$49=$Q$4))</f>
        <v>13.371</v>
      </c>
      <c r="AE202" s="3">
        <f t="shared" si="20"/>
        <v>265.54806000000002</v>
      </c>
      <c r="AF202" s="3">
        <v>16.07</v>
      </c>
      <c r="AG202" s="2" cm="1">
        <f t="array" ref="AG202">SUM($F$2:$F$49*($C$2:$C$49=$Q$5))</f>
        <v>43.272999999999996</v>
      </c>
      <c r="AH202" s="3">
        <f t="shared" si="21"/>
        <v>695.39711</v>
      </c>
      <c r="AI202" s="3">
        <v>23.14</v>
      </c>
      <c r="AJ202" s="2" cm="1">
        <f t="array" ref="AJ202">SUM($F$2:$F$49*($C$2:$C$49=$Q$6))</f>
        <v>0</v>
      </c>
      <c r="AK202" s="3">
        <f t="shared" si="22"/>
        <v>0</v>
      </c>
      <c r="AL202" s="3">
        <v>15.5</v>
      </c>
      <c r="AM202" s="2" cm="1">
        <f t="array" ref="AM202">SUM($F$2:$F$49*($C$2:$C$49=$Q$8))</f>
        <v>0</v>
      </c>
      <c r="AN202" s="3">
        <f t="shared" si="23"/>
        <v>0</v>
      </c>
      <c r="AO202" s="3">
        <f>SUM(J2:J49)</f>
        <v>1502.5000000000005</v>
      </c>
      <c r="AP2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4275.4007899999997</v>
      </c>
      <c r="AQ202" s="3" cm="1">
        <f t="array" aca="1" ref="AQ202" ca="1">OFFSET(Table7[[#This Row],[Investment Increase]],0,-1)-SUM($J$2:$J$49*($E$2:$E$49=$Q$31))</f>
        <v>836.40078999999969</v>
      </c>
    </row>
    <row r="203" spans="22:43" x14ac:dyDescent="0.45">
      <c r="V203" s="9">
        <v>44454</v>
      </c>
      <c r="W203" s="3">
        <v>191.09</v>
      </c>
      <c r="X203" s="2" cm="1">
        <f t="array" ref="X203">SUM($F$2:$F$49*($C$2:$C$49=$Q$2))</f>
        <v>3.9319999999999999</v>
      </c>
      <c r="Y203" s="3">
        <f t="shared" si="18"/>
        <v>751.36587999999995</v>
      </c>
      <c r="Z203" s="3">
        <v>181.7</v>
      </c>
      <c r="AA203" s="2" cm="1">
        <f t="array" ref="AA203">SUM($F$2:$F$49*($C$2:$C$49=$Q$3))</f>
        <v>5.8030999999999997</v>
      </c>
      <c r="AB203" s="3">
        <f t="shared" si="19"/>
        <v>1054.4232699999998</v>
      </c>
      <c r="AC203" s="3">
        <v>19.82</v>
      </c>
      <c r="AD203" s="2" cm="1">
        <f t="array" ref="AD203">SUM($F$2:$F$49*($C$2:$C$49=$Q$4))</f>
        <v>13.371</v>
      </c>
      <c r="AE203" s="3">
        <f t="shared" si="20"/>
        <v>265.01321999999999</v>
      </c>
      <c r="AF203" s="3">
        <v>16.079999999999998</v>
      </c>
      <c r="AG203" s="2" cm="1">
        <f t="array" ref="AG203">SUM($F$2:$F$49*($C$2:$C$49=$Q$5))</f>
        <v>43.272999999999996</v>
      </c>
      <c r="AH203" s="3">
        <f t="shared" si="21"/>
        <v>695.82983999999988</v>
      </c>
      <c r="AI203" s="3">
        <v>23.17</v>
      </c>
      <c r="AJ203" s="2" cm="1">
        <f t="array" ref="AJ203">SUM($F$2:$F$49*($C$2:$C$49=$Q$6))</f>
        <v>0</v>
      </c>
      <c r="AK203" s="3">
        <f t="shared" si="22"/>
        <v>0</v>
      </c>
      <c r="AL203" s="3">
        <v>15.78</v>
      </c>
      <c r="AM203" s="2" cm="1">
        <f t="array" ref="AM203">SUM($F$2:$F$49*($C$2:$C$49=$Q$8))</f>
        <v>0</v>
      </c>
      <c r="AN203" s="3">
        <f t="shared" si="23"/>
        <v>0</v>
      </c>
      <c r="AO203" s="3">
        <f>SUM(J2:J49)</f>
        <v>1502.5000000000005</v>
      </c>
      <c r="AP2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4269.1322099999998</v>
      </c>
      <c r="AQ203" s="3" cm="1">
        <f t="array" aca="1" ref="AQ203" ca="1">OFFSET(Table7[[#This Row],[Investment Increase]],0,-1)-SUM($J$2:$J$49*($E$2:$E$49=$Q$31))</f>
        <v>830.13220999999976</v>
      </c>
    </row>
    <row r="204" spans="22:43" x14ac:dyDescent="0.45">
      <c r="V204" s="9">
        <v>44453</v>
      </c>
      <c r="W204" s="3">
        <v>189.53</v>
      </c>
      <c r="X204" s="2" cm="1">
        <f t="array" ref="X204">SUM($F$2:$F$49*($C$2:$C$49=$Q$2))</f>
        <v>3.9319999999999999</v>
      </c>
      <c r="Y204" s="3">
        <f t="shared" si="18"/>
        <v>745.23195999999996</v>
      </c>
      <c r="Z204" s="3">
        <v>180.29</v>
      </c>
      <c r="AA204" s="2" cm="1">
        <f t="array" ref="AA204">SUM($F$2:$F$49*($C$2:$C$49=$Q$3))</f>
        <v>5.8030999999999997</v>
      </c>
      <c r="AB204" s="3">
        <f t="shared" si="19"/>
        <v>1046.2408989999999</v>
      </c>
      <c r="AC204" s="3">
        <v>19.690000000000001</v>
      </c>
      <c r="AD204" s="2" cm="1">
        <f t="array" ref="AD204">SUM($F$2:$F$49*($C$2:$C$49=$Q$4))</f>
        <v>13.371</v>
      </c>
      <c r="AE204" s="3">
        <f t="shared" si="20"/>
        <v>263.27499</v>
      </c>
      <c r="AF204" s="3">
        <v>15.95</v>
      </c>
      <c r="AG204" s="2" cm="1">
        <f t="array" ref="AG204">SUM($F$2:$F$49*($C$2:$C$49=$Q$5))</f>
        <v>43.272999999999996</v>
      </c>
      <c r="AH204" s="3">
        <f t="shared" si="21"/>
        <v>690.20434999999986</v>
      </c>
      <c r="AI204" s="3">
        <v>22.95</v>
      </c>
      <c r="AJ204" s="2" cm="1">
        <f t="array" ref="AJ204">SUM($F$2:$F$49*($C$2:$C$49=$Q$6))</f>
        <v>0</v>
      </c>
      <c r="AK204" s="3">
        <f t="shared" si="22"/>
        <v>0</v>
      </c>
      <c r="AL204" s="3">
        <v>15.41</v>
      </c>
      <c r="AM204" s="2" cm="1">
        <f t="array" ref="AM204">SUM($F$2:$F$49*($C$2:$C$49=$Q$8))</f>
        <v>0</v>
      </c>
      <c r="AN204" s="3">
        <f t="shared" si="23"/>
        <v>0</v>
      </c>
      <c r="AO204" s="3">
        <f>SUM(J2:J49)</f>
        <v>1502.5000000000005</v>
      </c>
      <c r="AP2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4247.4521990000003</v>
      </c>
      <c r="AQ204" s="3" cm="1">
        <f t="array" aca="1" ref="AQ204" ca="1">OFFSET(Table7[[#This Row],[Investment Increase]],0,-1)-SUM($J$2:$J$49*($E$2:$E$49=$Q$31))</f>
        <v>808.45219900000029</v>
      </c>
    </row>
    <row r="205" spans="22:43" x14ac:dyDescent="0.45">
      <c r="V205" s="9">
        <v>44452</v>
      </c>
      <c r="W205" s="3">
        <v>190.36</v>
      </c>
      <c r="X205" s="2" cm="1">
        <f t="array" ref="X205">SUM($F$2:$F$49*($C$2:$C$49=$Q$2))</f>
        <v>3.9319999999999999</v>
      </c>
      <c r="Y205" s="3">
        <f t="shared" si="18"/>
        <v>748.49552000000006</v>
      </c>
      <c r="Z205" s="3">
        <v>180.77</v>
      </c>
      <c r="AA205" s="2" cm="1">
        <f t="array" ref="AA205">SUM($F$2:$F$49*($C$2:$C$49=$Q$3))</f>
        <v>5.8030999999999997</v>
      </c>
      <c r="AB205" s="3">
        <f t="shared" si="19"/>
        <v>1049.0263870000001</v>
      </c>
      <c r="AC205" s="3">
        <v>19.739999999999998</v>
      </c>
      <c r="AD205" s="2" cm="1">
        <f t="array" ref="AD205">SUM($F$2:$F$49*($C$2:$C$49=$Q$4))</f>
        <v>13.371</v>
      </c>
      <c r="AE205" s="3">
        <f t="shared" si="20"/>
        <v>263.94353999999998</v>
      </c>
      <c r="AF205" s="3">
        <v>16.04</v>
      </c>
      <c r="AG205" s="2" cm="1">
        <f t="array" ref="AG205">SUM($F$2:$F$49*($C$2:$C$49=$Q$5))</f>
        <v>43.272999999999996</v>
      </c>
      <c r="AH205" s="3">
        <f t="shared" si="21"/>
        <v>694.09891999999991</v>
      </c>
      <c r="AI205" s="3">
        <v>23.08</v>
      </c>
      <c r="AJ205" s="2" cm="1">
        <f t="array" ref="AJ205">SUM($F$2:$F$49*($C$2:$C$49=$Q$6))</f>
        <v>0</v>
      </c>
      <c r="AK205" s="3">
        <f t="shared" si="22"/>
        <v>0</v>
      </c>
      <c r="AL205" s="3">
        <v>15.62</v>
      </c>
      <c r="AM205" s="2" cm="1">
        <f t="array" ref="AM205">SUM($F$2:$F$49*($C$2:$C$49=$Q$8))</f>
        <v>0</v>
      </c>
      <c r="AN205" s="3">
        <f t="shared" si="23"/>
        <v>0</v>
      </c>
      <c r="AO205" s="3">
        <f>SUM(J2:J49)</f>
        <v>1502.5000000000005</v>
      </c>
      <c r="AP2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4258.0643670000009</v>
      </c>
      <c r="AQ205" s="3" cm="1">
        <f t="array" aca="1" ref="AQ205" ca="1">OFFSET(Table7[[#This Row],[Investment Increase]],0,-1)-SUM($J$2:$J$49*($E$2:$E$49=$Q$31))</f>
        <v>819.06436700000086</v>
      </c>
    </row>
    <row r="206" spans="22:43" x14ac:dyDescent="0.45">
      <c r="V206" s="9">
        <v>44449</v>
      </c>
      <c r="W206" s="3">
        <v>190.48</v>
      </c>
      <c r="X206" s="2" cm="1">
        <f t="array" ref="X206">SUM($F$2:$F$49*($C$2:$C$49=$Q$2))</f>
        <v>3.9319999999999999</v>
      </c>
      <c r="Y206" s="3">
        <f t="shared" si="18"/>
        <v>748.96735999999999</v>
      </c>
      <c r="Z206" s="3">
        <v>181.25</v>
      </c>
      <c r="AA206" s="2" cm="1">
        <f t="array" ref="AA206">SUM($F$2:$F$49*($C$2:$C$49=$Q$3))</f>
        <v>5.8030999999999997</v>
      </c>
      <c r="AB206" s="3">
        <f t="shared" si="19"/>
        <v>1051.8118749999999</v>
      </c>
      <c r="AC206" s="3">
        <v>19.78</v>
      </c>
      <c r="AD206" s="2" cm="1">
        <f t="array" ref="AD206">SUM($F$2:$F$49*($C$2:$C$49=$Q$4))</f>
        <v>13.371</v>
      </c>
      <c r="AE206" s="3">
        <f t="shared" si="20"/>
        <v>264.47838000000002</v>
      </c>
      <c r="AF206" s="3">
        <v>16.010000000000002</v>
      </c>
      <c r="AG206" s="2" cm="1">
        <f t="array" ref="AG206">SUM($F$2:$F$49*($C$2:$C$49=$Q$5))</f>
        <v>43.272999999999996</v>
      </c>
      <c r="AH206" s="3">
        <f t="shared" si="21"/>
        <v>692.80073000000004</v>
      </c>
      <c r="AI206" s="3">
        <v>23.02</v>
      </c>
      <c r="AJ206" s="2" cm="1">
        <f t="array" ref="AJ206">SUM($F$2:$F$49*($C$2:$C$49=$Q$6))</f>
        <v>0</v>
      </c>
      <c r="AK206" s="3">
        <f t="shared" si="22"/>
        <v>0</v>
      </c>
      <c r="AL206" s="3">
        <v>15.48</v>
      </c>
      <c r="AM206" s="2" cm="1">
        <f t="array" ref="AM206">SUM($F$2:$F$49*($C$2:$C$49=$Q$8))</f>
        <v>0</v>
      </c>
      <c r="AN206" s="3">
        <f t="shared" si="23"/>
        <v>0</v>
      </c>
      <c r="AO206" s="3">
        <f>SUM(J2:J49)</f>
        <v>1502.5000000000005</v>
      </c>
      <c r="AP2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4260.5583450000004</v>
      </c>
      <c r="AQ206" s="3" cm="1">
        <f t="array" aca="1" ref="AQ206" ca="1">OFFSET(Table7[[#This Row],[Investment Increase]],0,-1)-SUM($J$2:$J$49*($E$2:$E$49=$Q$31))</f>
        <v>821.55834500000037</v>
      </c>
    </row>
    <row r="207" spans="22:43" x14ac:dyDescent="0.45">
      <c r="V207" s="9">
        <v>44448</v>
      </c>
      <c r="W207" s="3">
        <v>192.15</v>
      </c>
      <c r="X207" s="2" cm="1">
        <f t="array" ref="X207">SUM($F$2:$F$43*($C$2:$C$43=$Q$2))</f>
        <v>3.9319999999999999</v>
      </c>
      <c r="Y207" s="3">
        <f t="shared" si="18"/>
        <v>755.53380000000004</v>
      </c>
      <c r="Z207" s="3">
        <v>196.25</v>
      </c>
      <c r="AA207" s="2" cm="1">
        <f t="array" ref="AA207">SUM($F$2:$F$43*($C$2:$C$43=$Q$3))</f>
        <v>5.3841000000000001</v>
      </c>
      <c r="AB207" s="3">
        <f t="shared" si="19"/>
        <v>1056.629625</v>
      </c>
      <c r="AC207" s="3">
        <v>21.68</v>
      </c>
      <c r="AD207" s="2" cm="1">
        <f t="array" ref="AD207">SUM($F$2:$F$43*($C$2:$C$43=$Q$4))</f>
        <v>12.159000000000001</v>
      </c>
      <c r="AE207" s="3">
        <f t="shared" si="20"/>
        <v>263.60712000000001</v>
      </c>
      <c r="AF207" s="3">
        <v>16.13</v>
      </c>
      <c r="AG207" s="2" cm="1">
        <f t="array" ref="AG207">SUM($F$2:$F$43*($C$2:$C$43=$Q$5))</f>
        <v>43.272999999999996</v>
      </c>
      <c r="AH207" s="3">
        <f t="shared" si="21"/>
        <v>697.99348999999984</v>
      </c>
      <c r="AI207" s="3">
        <v>23.18</v>
      </c>
      <c r="AJ207" s="2" cm="1">
        <f t="array" ref="AJ207">SUM($F$2:$F$43*($C$2:$C$43=$Q$6))</f>
        <v>0</v>
      </c>
      <c r="AK207" s="3">
        <f t="shared" si="22"/>
        <v>0</v>
      </c>
      <c r="AL207" s="3">
        <v>15.46</v>
      </c>
      <c r="AM207" s="2" cm="1">
        <f t="array" ref="AM207">SUM($F$2:$F$43*($C$2:$C$43=$Q$8))</f>
        <v>0</v>
      </c>
      <c r="AN207" s="3">
        <f t="shared" si="23"/>
        <v>0</v>
      </c>
      <c r="AO207" s="3">
        <f>SUM(J2:J43)</f>
        <v>1503.2900000000004</v>
      </c>
      <c r="AP2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4277.054035000001</v>
      </c>
      <c r="AQ207" s="3" cm="1">
        <f t="array" aca="1" ref="AQ207" ca="1">OFFSET(Table7[[#This Row],[Investment Increase]],0,-1)-SUM($J$2:$J$43*($E$2:$E$43=$Q$31))</f>
        <v>838.05403500000102</v>
      </c>
    </row>
    <row r="208" spans="22:43" x14ac:dyDescent="0.45">
      <c r="V208" s="9">
        <v>44447</v>
      </c>
      <c r="W208" s="3">
        <v>192.64</v>
      </c>
      <c r="X208" s="2" cm="1">
        <f t="array" ref="X208">SUM($F$2:$F$43*($C$2:$C$43=$Q$2))</f>
        <v>3.9319999999999999</v>
      </c>
      <c r="Y208" s="3">
        <f t="shared" si="18"/>
        <v>757.46047999999996</v>
      </c>
      <c r="Z208" s="3">
        <v>196.13</v>
      </c>
      <c r="AA208" s="2" cm="1">
        <f t="array" ref="AA208">SUM($F$2:$F$43*($C$2:$C$43=$Q$3))</f>
        <v>5.3841000000000001</v>
      </c>
      <c r="AB208" s="3">
        <f t="shared" si="19"/>
        <v>1055.9835330000001</v>
      </c>
      <c r="AC208" s="3">
        <v>21.71</v>
      </c>
      <c r="AD208" s="2" cm="1">
        <f t="array" ref="AD208">SUM($F$2:$F$43*($C$2:$C$43=$Q$4))</f>
        <v>12.159000000000001</v>
      </c>
      <c r="AE208" s="3">
        <f t="shared" si="20"/>
        <v>263.97189000000003</v>
      </c>
      <c r="AF208" s="3">
        <v>16.2</v>
      </c>
      <c r="AG208" s="2" cm="1">
        <f t="array" ref="AG208">SUM($F$2:$F$43*($C$2:$C$43=$Q$5))</f>
        <v>43.272999999999996</v>
      </c>
      <c r="AH208" s="3">
        <f t="shared" si="21"/>
        <v>701.0225999999999</v>
      </c>
      <c r="AI208" s="3">
        <v>23.3</v>
      </c>
      <c r="AJ208" s="2" cm="1">
        <f t="array" ref="AJ208">SUM($F$2:$F$43*($C$2:$C$43=$Q$6))</f>
        <v>0</v>
      </c>
      <c r="AK208" s="3">
        <f t="shared" si="22"/>
        <v>0</v>
      </c>
      <c r="AL208" s="3">
        <v>15.46</v>
      </c>
      <c r="AM208" s="2" cm="1">
        <f t="array" ref="AM208">SUM($F$2:$F$43*($C$2:$C$43=$Q$8))</f>
        <v>0</v>
      </c>
      <c r="AN208" s="3">
        <f t="shared" si="23"/>
        <v>0</v>
      </c>
      <c r="AO208" s="3">
        <f>SUM(J2:J43)</f>
        <v>1503.2900000000004</v>
      </c>
      <c r="AP2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4281.7285030000003</v>
      </c>
      <c r="AQ208" s="3" cm="1">
        <f t="array" aca="1" ref="AQ208" ca="1">OFFSET(Table7[[#This Row],[Investment Increase]],0,-1)-SUM($J$2:$J$43*($E$2:$E$43=$Q$31))</f>
        <v>842.72850300000027</v>
      </c>
    </row>
    <row r="209" spans="22:43" x14ac:dyDescent="0.45">
      <c r="V209" s="9">
        <v>44446</v>
      </c>
      <c r="W209" s="3">
        <v>193.74</v>
      </c>
      <c r="X209" s="2" cm="1">
        <f t="array" ref="X209">SUM($F$2:$F$43*($C$2:$C$43=$Q$2))</f>
        <v>3.9319999999999999</v>
      </c>
      <c r="Y209" s="3">
        <f t="shared" si="18"/>
        <v>761.78568000000007</v>
      </c>
      <c r="Z209" s="3">
        <v>198.19</v>
      </c>
      <c r="AA209" s="2" cm="1">
        <f t="array" ref="AA209">SUM($F$2:$F$43*($C$2:$C$43=$Q$3))</f>
        <v>5.3841000000000001</v>
      </c>
      <c r="AB209" s="3">
        <f t="shared" si="19"/>
        <v>1067.074779</v>
      </c>
      <c r="AC209" s="3">
        <v>21.89</v>
      </c>
      <c r="AD209" s="2" cm="1">
        <f t="array" ref="AD209">SUM($F$2:$F$43*($C$2:$C$43=$Q$4))</f>
        <v>12.159000000000001</v>
      </c>
      <c r="AE209" s="3">
        <f t="shared" si="20"/>
        <v>266.16051000000004</v>
      </c>
      <c r="AF209" s="3">
        <v>16.23</v>
      </c>
      <c r="AG209" s="2" cm="1">
        <f t="array" ref="AG209">SUM($F$2:$F$43*($C$2:$C$43=$Q$5))</f>
        <v>43.272999999999996</v>
      </c>
      <c r="AH209" s="3">
        <f t="shared" si="21"/>
        <v>702.32078999999999</v>
      </c>
      <c r="AI209" s="3">
        <v>23.36</v>
      </c>
      <c r="AJ209" s="2" cm="1">
        <f t="array" ref="AJ209">SUM($F$2:$F$43*($C$2:$C$43=$Q$6))</f>
        <v>0</v>
      </c>
      <c r="AK209" s="3">
        <f t="shared" si="22"/>
        <v>0</v>
      </c>
      <c r="AL209" s="3">
        <v>15.7</v>
      </c>
      <c r="AM209" s="2" cm="1">
        <f t="array" ref="AM209">SUM($F$2:$F$43*($C$2:$C$43=$Q$8))</f>
        <v>0</v>
      </c>
      <c r="AN209" s="3">
        <f t="shared" si="23"/>
        <v>0</v>
      </c>
      <c r="AO209" s="3">
        <f>SUM(J2:J43)</f>
        <v>1503.2900000000004</v>
      </c>
      <c r="AP2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4300.6317589999999</v>
      </c>
      <c r="AQ209" s="3" cm="1">
        <f t="array" aca="1" ref="AQ209" ca="1">OFFSET(Table7[[#This Row],[Investment Increase]],0,-1)-SUM($J$2:$J$43*($E$2:$E$43=$Q$31))</f>
        <v>861.63175899999987</v>
      </c>
    </row>
    <row r="210" spans="22:43" x14ac:dyDescent="0.45">
      <c r="V210" s="9">
        <v>44442</v>
      </c>
      <c r="W210" s="3">
        <v>193.61</v>
      </c>
      <c r="X210" s="2" cm="1">
        <f t="array" ref="X210">SUM($F$2:$F$43*($C$2:$C$43=$Q$2))</f>
        <v>3.9319999999999999</v>
      </c>
      <c r="Y210" s="3">
        <f t="shared" si="18"/>
        <v>761.27452000000005</v>
      </c>
      <c r="Z210" s="3">
        <v>197.49</v>
      </c>
      <c r="AA210" s="2" cm="1">
        <f t="array" ref="AA210">SUM($F$2:$F$43*($C$2:$C$43=$Q$3))</f>
        <v>5.3841000000000001</v>
      </c>
      <c r="AB210" s="3">
        <f t="shared" si="19"/>
        <v>1063.3059090000002</v>
      </c>
      <c r="AC210" s="3">
        <v>21.8</v>
      </c>
      <c r="AD210" s="2" cm="1">
        <f t="array" ref="AD210">SUM($F$2:$F$43*($C$2:$C$43=$Q$4))</f>
        <v>12.159000000000001</v>
      </c>
      <c r="AE210" s="3">
        <f t="shared" si="20"/>
        <v>265.06620000000004</v>
      </c>
      <c r="AF210" s="3">
        <v>16.29</v>
      </c>
      <c r="AG210" s="2" cm="1">
        <f t="array" ref="AG210">SUM($F$2:$F$43*($C$2:$C$43=$Q$5))</f>
        <v>43.272999999999996</v>
      </c>
      <c r="AH210" s="3">
        <f t="shared" si="21"/>
        <v>704.91716999999994</v>
      </c>
      <c r="AI210" s="3">
        <v>23.47</v>
      </c>
      <c r="AJ210" s="2" cm="1">
        <f t="array" ref="AJ210">SUM($F$2:$F$43*($C$2:$C$43=$Q$6))</f>
        <v>0</v>
      </c>
      <c r="AK210" s="3">
        <f t="shared" si="22"/>
        <v>0</v>
      </c>
      <c r="AL210" s="3">
        <v>15.82</v>
      </c>
      <c r="AM210" s="2" cm="1">
        <f t="array" ref="AM210">SUM($F$2:$F$43*($C$2:$C$43=$Q$8))</f>
        <v>0</v>
      </c>
      <c r="AN210" s="3">
        <f t="shared" si="23"/>
        <v>0</v>
      </c>
      <c r="AO210" s="3">
        <f>SUM(J2:J43)</f>
        <v>1503.2900000000004</v>
      </c>
      <c r="AP2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4297.8537990000004</v>
      </c>
      <c r="AQ210" s="3" cm="1">
        <f t="array" aca="1" ref="AQ210" ca="1">OFFSET(Table7[[#This Row],[Investment Increase]],0,-1)-SUM($J$2:$J$43*($E$2:$E$43=$Q$31))</f>
        <v>858.85379900000044</v>
      </c>
    </row>
    <row r="211" spans="22:43" x14ac:dyDescent="0.45">
      <c r="V211" s="9">
        <v>44441</v>
      </c>
      <c r="W211" s="3">
        <v>193.21</v>
      </c>
      <c r="X211" s="2" cm="1">
        <f t="array" ref="X211">SUM($F$2:$F$43*($C$2:$C$43=$Q$2))</f>
        <v>3.9319999999999999</v>
      </c>
      <c r="Y211" s="3">
        <f t="shared" si="18"/>
        <v>759.70172000000002</v>
      </c>
      <c r="Z211" s="3">
        <v>196.68</v>
      </c>
      <c r="AA211" s="2" cm="1">
        <f t="array" ref="AA211">SUM($F$2:$F$43*($C$2:$C$43=$Q$3))</f>
        <v>5.3841000000000001</v>
      </c>
      <c r="AB211" s="3">
        <f t="shared" si="19"/>
        <v>1058.944788</v>
      </c>
      <c r="AC211" s="3">
        <v>21.7</v>
      </c>
      <c r="AD211" s="2" cm="1">
        <f t="array" ref="AD211">SUM($F$2:$F$43*($C$2:$C$43=$Q$4))</f>
        <v>12.159000000000001</v>
      </c>
      <c r="AE211" s="3">
        <f t="shared" si="20"/>
        <v>263.8503</v>
      </c>
      <c r="AF211" s="3">
        <v>16.28</v>
      </c>
      <c r="AG211" s="2" cm="1">
        <f t="array" ref="AG211">SUM($F$2:$F$43*($C$2:$C$43=$Q$5))</f>
        <v>43.272999999999996</v>
      </c>
      <c r="AH211" s="3">
        <f t="shared" si="21"/>
        <v>704.48443999999995</v>
      </c>
      <c r="AI211" s="3">
        <v>23.48</v>
      </c>
      <c r="AJ211" s="2" cm="1">
        <f t="array" ref="AJ211">SUM($F$2:$F$43*($C$2:$C$43=$Q$6))</f>
        <v>0</v>
      </c>
      <c r="AK211" s="3">
        <f t="shared" si="22"/>
        <v>0</v>
      </c>
      <c r="AL211" s="3">
        <v>15.76</v>
      </c>
      <c r="AM211" s="2" cm="1">
        <f t="array" ref="AM211">SUM($F$2:$F$43*($C$2:$C$43=$Q$8))</f>
        <v>0</v>
      </c>
      <c r="AN211" s="3">
        <f t="shared" si="23"/>
        <v>0</v>
      </c>
      <c r="AO211" s="3">
        <f>SUM(J2:J43)</f>
        <v>1503.2900000000004</v>
      </c>
      <c r="AP2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4290.2712480000009</v>
      </c>
      <c r="AQ211" s="3" cm="1">
        <f t="array" aca="1" ref="AQ211" ca="1">OFFSET(Table7[[#This Row],[Investment Increase]],0,-1)-SUM($J$2:$J$43*($E$2:$E$43=$Q$31))</f>
        <v>851.27124800000092</v>
      </c>
    </row>
    <row r="212" spans="22:43" x14ac:dyDescent="0.45">
      <c r="V212" s="9">
        <v>44440</v>
      </c>
      <c r="W212" s="3">
        <v>192.93</v>
      </c>
      <c r="X212" s="2" cm="1">
        <f t="array" ref="X212">SUM($F$2:$F$43*($C$2:$C$43=$Q$2))</f>
        <v>3.9319999999999999</v>
      </c>
      <c r="Y212" s="3">
        <f t="shared" si="18"/>
        <v>758.60076000000004</v>
      </c>
      <c r="Z212" s="3">
        <v>196.81</v>
      </c>
      <c r="AA212" s="2" cm="1">
        <f t="array" ref="AA212">SUM($F$2:$F$43*($C$2:$C$43=$Q$3))</f>
        <v>5.3841000000000001</v>
      </c>
      <c r="AB212" s="3">
        <f t="shared" si="19"/>
        <v>1059.6447210000001</v>
      </c>
      <c r="AC212" s="3">
        <v>21.74</v>
      </c>
      <c r="AD212" s="2" cm="1">
        <f t="array" ref="AD212">SUM($F$2:$F$43*($C$2:$C$43=$Q$4))</f>
        <v>12.159000000000001</v>
      </c>
      <c r="AE212" s="3">
        <f t="shared" si="20"/>
        <v>264.33665999999999</v>
      </c>
      <c r="AF212" s="3">
        <v>16.239999999999998</v>
      </c>
      <c r="AG212" s="2" cm="1">
        <f t="array" ref="AG212">SUM($F$2:$F$43*($C$2:$C$43=$Q$5))</f>
        <v>43.272999999999996</v>
      </c>
      <c r="AH212" s="3">
        <f t="shared" si="21"/>
        <v>702.75351999999987</v>
      </c>
      <c r="AI212" s="3">
        <v>23.4</v>
      </c>
      <c r="AJ212" s="2" cm="1">
        <f t="array" ref="AJ212">SUM($F$2:$F$43*($C$2:$C$43=$Q$6))</f>
        <v>0</v>
      </c>
      <c r="AK212" s="3">
        <f t="shared" si="22"/>
        <v>0</v>
      </c>
      <c r="AL212" s="3">
        <v>15.56</v>
      </c>
      <c r="AM212" s="2" cm="1">
        <f t="array" ref="AM212">SUM($F$2:$F$43*($C$2:$C$43=$Q$8))</f>
        <v>0</v>
      </c>
      <c r="AN212" s="3">
        <f t="shared" si="23"/>
        <v>0</v>
      </c>
      <c r="AO212" s="3">
        <f>SUM(J2:J43)</f>
        <v>1503.2900000000004</v>
      </c>
      <c r="AP2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4288.625661</v>
      </c>
      <c r="AQ212" s="3" cm="1">
        <f t="array" aca="1" ref="AQ212" ca="1">OFFSET(Table7[[#This Row],[Investment Increase]],0,-1)-SUM($J$2:$J$43*($E$2:$E$43=$Q$31))</f>
        <v>849.62566100000004</v>
      </c>
    </row>
    <row r="213" spans="22:43" x14ac:dyDescent="0.45">
      <c r="V213" s="9">
        <v>44439</v>
      </c>
      <c r="W213" s="3">
        <v>192.3</v>
      </c>
      <c r="X213" s="2" cm="1">
        <f t="array" ref="X213">SUM($F$2:$F$43*($C$2:$C$43=$Q$2))</f>
        <v>3.9319999999999999</v>
      </c>
      <c r="Y213" s="3">
        <f t="shared" si="18"/>
        <v>756.12360000000001</v>
      </c>
      <c r="Z213" s="3">
        <v>195.89</v>
      </c>
      <c r="AA213" s="2" cm="1">
        <f t="array" ref="AA213">SUM($F$2:$F$43*($C$2:$C$43=$Q$3))</f>
        <v>5.3841000000000001</v>
      </c>
      <c r="AB213" s="3">
        <f t="shared" si="19"/>
        <v>1054.6913489999999</v>
      </c>
      <c r="AC213" s="3">
        <v>21.61</v>
      </c>
      <c r="AD213" s="2" cm="1">
        <f t="array" ref="AD213">SUM($F$2:$F$43*($C$2:$C$43=$Q$4))</f>
        <v>12.159000000000001</v>
      </c>
      <c r="AE213" s="3">
        <f t="shared" si="20"/>
        <v>262.75599</v>
      </c>
      <c r="AF213" s="3">
        <v>16.23</v>
      </c>
      <c r="AG213" s="2" cm="1">
        <f t="array" ref="AG213">SUM($F$2:$F$43*($C$2:$C$43=$Q$5))</f>
        <v>43.272999999999996</v>
      </c>
      <c r="AH213" s="3">
        <f t="shared" si="21"/>
        <v>702.32078999999999</v>
      </c>
      <c r="AI213" s="3">
        <v>23.4</v>
      </c>
      <c r="AJ213" s="2" cm="1">
        <f t="array" ref="AJ213">SUM($F$2:$F$43*($C$2:$C$43=$Q$6))</f>
        <v>0</v>
      </c>
      <c r="AK213" s="3">
        <f t="shared" si="22"/>
        <v>0</v>
      </c>
      <c r="AL213" s="3">
        <v>15.63</v>
      </c>
      <c r="AM213" s="2" cm="1">
        <f t="array" ref="AM213">SUM($F$2:$F$43*($C$2:$C$43=$Q$8))</f>
        <v>0</v>
      </c>
      <c r="AN213" s="3">
        <f t="shared" si="23"/>
        <v>0</v>
      </c>
      <c r="AO213" s="3">
        <f>SUM(J2:J43)</f>
        <v>1503.2900000000004</v>
      </c>
      <c r="AP2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4279.1817289999999</v>
      </c>
      <c r="AQ213" s="3" cm="1">
        <f t="array" aca="1" ref="AQ213" ca="1">OFFSET(Table7[[#This Row],[Investment Increase]],0,-1)-SUM($J$2:$J$43*($E$2:$E$43=$Q$31))</f>
        <v>840.1817289999999</v>
      </c>
    </row>
    <row r="214" spans="22:43" x14ac:dyDescent="0.45">
      <c r="V214" s="9">
        <v>44438</v>
      </c>
      <c r="W214" s="3">
        <v>192.38</v>
      </c>
      <c r="X214" s="2" cm="1">
        <f t="array" ref="X214">SUM($F$2:$F$43*($C$2:$C$43=$Q$2))</f>
        <v>3.9319999999999999</v>
      </c>
      <c r="Y214" s="3">
        <f t="shared" si="18"/>
        <v>756.43815999999993</v>
      </c>
      <c r="Z214" s="3">
        <v>196.54</v>
      </c>
      <c r="AA214" s="2" cm="1">
        <f t="array" ref="AA214">SUM($F$2:$F$43*($C$2:$C$43=$Q$3))</f>
        <v>5.3841000000000001</v>
      </c>
      <c r="AB214" s="3">
        <f t="shared" si="19"/>
        <v>1058.191014</v>
      </c>
      <c r="AC214" s="3">
        <v>21.64</v>
      </c>
      <c r="AD214" s="2" cm="1">
        <f t="array" ref="AD214">SUM($F$2:$F$43*($C$2:$C$43=$Q$4))</f>
        <v>12.159000000000001</v>
      </c>
      <c r="AE214" s="3">
        <f t="shared" si="20"/>
        <v>263.12076000000002</v>
      </c>
      <c r="AF214" s="3">
        <v>16.260000000000002</v>
      </c>
      <c r="AG214" s="2" cm="1">
        <f t="array" ref="AG214">SUM($F$2:$F$43*($C$2:$C$43=$Q$5))</f>
        <v>43.272999999999996</v>
      </c>
      <c r="AH214" s="3">
        <f t="shared" si="21"/>
        <v>703.61897999999997</v>
      </c>
      <c r="AI214" s="3">
        <v>23.42</v>
      </c>
      <c r="AJ214" s="2" cm="1">
        <f t="array" ref="AJ214">SUM($F$2:$F$43*($C$2:$C$43=$Q$6))</f>
        <v>0</v>
      </c>
      <c r="AK214" s="3">
        <f t="shared" si="22"/>
        <v>0</v>
      </c>
      <c r="AL214" s="3">
        <v>15.74</v>
      </c>
      <c r="AM214" s="2" cm="1">
        <f t="array" ref="AM214">SUM($F$2:$F$43*($C$2:$C$43=$Q$8))</f>
        <v>0</v>
      </c>
      <c r="AN214" s="3">
        <f t="shared" si="23"/>
        <v>0</v>
      </c>
      <c r="AO214" s="3">
        <f>SUM(J2:J43)</f>
        <v>1503.2900000000004</v>
      </c>
      <c r="AP2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4284.6589139999996</v>
      </c>
      <c r="AQ214" s="3" cm="1">
        <f t="array" aca="1" ref="AQ214" ca="1">OFFSET(Table7[[#This Row],[Investment Increase]],0,-1)-SUM($J$2:$J$43*($E$2:$E$43=$Q$31))</f>
        <v>845.65891399999964</v>
      </c>
    </row>
    <row r="215" spans="22:43" x14ac:dyDescent="0.45">
      <c r="V215" s="9">
        <v>44435</v>
      </c>
      <c r="W215" s="3">
        <v>190.65</v>
      </c>
      <c r="X215" s="2" cm="1">
        <f t="array" ref="X215">SUM($F$2:$F$43*($C$2:$C$43=$Q$2))</f>
        <v>3.9319999999999999</v>
      </c>
      <c r="Y215" s="3">
        <f t="shared" si="18"/>
        <v>749.63580000000002</v>
      </c>
      <c r="Z215" s="3">
        <v>194.9</v>
      </c>
      <c r="AA215" s="2" cm="1">
        <f t="array" ref="AA215">SUM($F$2:$F$43*($C$2:$C$43=$Q$3))</f>
        <v>5.3841000000000001</v>
      </c>
      <c r="AB215" s="3">
        <f t="shared" si="19"/>
        <v>1049.3610900000001</v>
      </c>
      <c r="AC215" s="3">
        <v>21.41</v>
      </c>
      <c r="AD215" s="2" cm="1">
        <f t="array" ref="AD215">SUM($F$2:$F$43*($C$2:$C$43=$Q$4))</f>
        <v>12.159000000000001</v>
      </c>
      <c r="AE215" s="3">
        <f t="shared" si="20"/>
        <v>260.32419000000004</v>
      </c>
      <c r="AF215" s="3">
        <v>16.18</v>
      </c>
      <c r="AG215" s="2" cm="1">
        <f t="array" ref="AG215">SUM($F$2:$F$43*($C$2:$C$43=$Q$5))</f>
        <v>43.272999999999996</v>
      </c>
      <c r="AH215" s="3">
        <f t="shared" si="21"/>
        <v>700.15713999999991</v>
      </c>
      <c r="AI215" s="3">
        <v>23.35</v>
      </c>
      <c r="AJ215" s="2" cm="1">
        <f t="array" ref="AJ215">SUM($F$2:$F$43*($C$2:$C$43=$Q$6))</f>
        <v>0</v>
      </c>
      <c r="AK215" s="3">
        <f t="shared" si="22"/>
        <v>0</v>
      </c>
      <c r="AL215" s="3">
        <v>15.78</v>
      </c>
      <c r="AM215" s="2" cm="1">
        <f t="array" ref="AM215">SUM($F$2:$F$43*($C$2:$C$43=$Q$8))</f>
        <v>0</v>
      </c>
      <c r="AN215" s="3">
        <f t="shared" si="23"/>
        <v>0</v>
      </c>
      <c r="AO215" s="3">
        <f>SUM(J2:J43)</f>
        <v>1503.2900000000004</v>
      </c>
      <c r="AP2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4262.7682199999999</v>
      </c>
      <c r="AQ215" s="3" cm="1">
        <f t="array" aca="1" ref="AQ215" ca="1">OFFSET(Table7[[#This Row],[Investment Increase]],0,-1)-SUM($J$2:$J$43*($E$2:$E$43=$Q$31))</f>
        <v>823.76821999999993</v>
      </c>
    </row>
    <row r="216" spans="22:43" x14ac:dyDescent="0.45">
      <c r="V216" s="9">
        <v>44434</v>
      </c>
      <c r="W216" s="3">
        <v>188.35</v>
      </c>
      <c r="X216" s="2" cm="1">
        <f t="array" ref="X216">SUM($F$2:$F$43*($C$2:$C$43=$Q$2))</f>
        <v>3.9319999999999999</v>
      </c>
      <c r="Y216" s="3">
        <f t="shared" si="18"/>
        <v>740.59219999999993</v>
      </c>
      <c r="Z216" s="3">
        <v>192.89</v>
      </c>
      <c r="AA216" s="2" cm="1">
        <f t="array" ref="AA216">SUM($F$2:$F$43*($C$2:$C$43=$Q$3))</f>
        <v>5.3841000000000001</v>
      </c>
      <c r="AB216" s="3">
        <f t="shared" si="19"/>
        <v>1038.539049</v>
      </c>
      <c r="AC216" s="3">
        <v>21.18</v>
      </c>
      <c r="AD216" s="2" cm="1">
        <f t="array" ref="AD216">SUM($F$2:$F$43*($C$2:$C$43=$Q$4))</f>
        <v>12.159000000000001</v>
      </c>
      <c r="AE216" s="3">
        <f t="shared" si="20"/>
        <v>257.52762000000001</v>
      </c>
      <c r="AF216" s="3">
        <v>16.04</v>
      </c>
      <c r="AG216" s="2" cm="1">
        <f t="array" ref="AG216">SUM($F$2:$F$43*($C$2:$C$43=$Q$5))</f>
        <v>43.272999999999996</v>
      </c>
      <c r="AH216" s="3">
        <f t="shared" si="21"/>
        <v>694.09891999999991</v>
      </c>
      <c r="AI216" s="3">
        <v>23.1</v>
      </c>
      <c r="AJ216" s="2" cm="1">
        <f t="array" ref="AJ216">SUM($F$2:$F$43*($C$2:$C$43=$Q$6))</f>
        <v>0</v>
      </c>
      <c r="AK216" s="3">
        <f t="shared" si="22"/>
        <v>0</v>
      </c>
      <c r="AL216" s="3">
        <v>15.39</v>
      </c>
      <c r="AM216" s="2" cm="1">
        <f t="array" ref="AM216">SUM($F$2:$F$43*($C$2:$C$43=$Q$8))</f>
        <v>0</v>
      </c>
      <c r="AN216" s="3">
        <f t="shared" si="23"/>
        <v>0</v>
      </c>
      <c r="AO216" s="3">
        <f>SUM(J2:J43)</f>
        <v>1503.2900000000004</v>
      </c>
      <c r="AP2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4234.0477890000002</v>
      </c>
      <c r="AQ216" s="3" cm="1">
        <f t="array" aca="1" ref="AQ216" ca="1">OFFSET(Table7[[#This Row],[Investment Increase]],0,-1)-SUM($J$2:$J$43*($E$2:$E$43=$Q$31))</f>
        <v>795.04778900000019</v>
      </c>
    </row>
    <row r="217" spans="22:43" x14ac:dyDescent="0.45">
      <c r="V217" s="9">
        <v>44433</v>
      </c>
      <c r="W217" s="3">
        <v>189.56</v>
      </c>
      <c r="X217" s="2" cm="1">
        <f t="array" ref="X217">SUM($F$2:$F$43*($C$2:$C$43=$Q$2))</f>
        <v>3.9319999999999999</v>
      </c>
      <c r="Y217" s="3">
        <f t="shared" si="18"/>
        <v>745.34992</v>
      </c>
      <c r="Z217" s="3">
        <v>194.18</v>
      </c>
      <c r="AA217" s="2" cm="1">
        <f t="array" ref="AA217">SUM($F$2:$F$43*($C$2:$C$43=$Q$3))</f>
        <v>5.3841000000000001</v>
      </c>
      <c r="AB217" s="3">
        <f t="shared" si="19"/>
        <v>1045.4845380000002</v>
      </c>
      <c r="AC217" s="3">
        <v>21.33</v>
      </c>
      <c r="AD217" s="2" cm="1">
        <f t="array" ref="AD217">SUM($F$2:$F$43*($C$2:$C$43=$Q$4))</f>
        <v>12.159000000000001</v>
      </c>
      <c r="AE217" s="3">
        <f t="shared" si="20"/>
        <v>259.35147000000001</v>
      </c>
      <c r="AF217" s="3">
        <v>16.13</v>
      </c>
      <c r="AG217" s="2" cm="1">
        <f t="array" ref="AG217">SUM($F$2:$F$43*($C$2:$C$43=$Q$5))</f>
        <v>43.272999999999996</v>
      </c>
      <c r="AH217" s="3">
        <f t="shared" si="21"/>
        <v>697.99348999999984</v>
      </c>
      <c r="AI217" s="3">
        <v>23.26</v>
      </c>
      <c r="AJ217" s="2" cm="1">
        <f t="array" ref="AJ217">SUM($F$2:$F$43*($C$2:$C$43=$Q$6))</f>
        <v>0</v>
      </c>
      <c r="AK217" s="3">
        <f t="shared" si="22"/>
        <v>0</v>
      </c>
      <c r="AL217" s="3">
        <v>15.59</v>
      </c>
      <c r="AM217" s="2" cm="1">
        <f t="array" ref="AM217">SUM($F$2:$F$43*($C$2:$C$43=$Q$8))</f>
        <v>0</v>
      </c>
      <c r="AN217" s="3">
        <f t="shared" si="23"/>
        <v>0</v>
      </c>
      <c r="AO217" s="3">
        <f>SUM(J2:J43)</f>
        <v>1503.2900000000004</v>
      </c>
      <c r="AP2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4251.4694180000006</v>
      </c>
      <c r="AQ217" s="3" cm="1">
        <f t="array" aca="1" ref="AQ217" ca="1">OFFSET(Table7[[#This Row],[Investment Increase]],0,-1)-SUM($J$2:$J$43*($E$2:$E$43=$Q$31))</f>
        <v>812.46941800000059</v>
      </c>
    </row>
    <row r="218" spans="22:43" x14ac:dyDescent="0.45">
      <c r="V218" s="9">
        <v>44432</v>
      </c>
      <c r="W218" s="3">
        <v>189.26</v>
      </c>
      <c r="X218" s="2" cm="1">
        <f t="array" ref="X218">SUM($F$2:$F$43*($C$2:$C$43=$Q$2))</f>
        <v>3.9319999999999999</v>
      </c>
      <c r="Y218" s="3">
        <f t="shared" si="18"/>
        <v>744.17031999999995</v>
      </c>
      <c r="Z218" s="3">
        <v>193.26</v>
      </c>
      <c r="AA218" s="2" cm="1">
        <f t="array" ref="AA218">SUM($F$2:$F$43*($C$2:$C$43=$Q$3))</f>
        <v>5.3841000000000001</v>
      </c>
      <c r="AB218" s="3">
        <f t="shared" si="19"/>
        <v>1040.531166</v>
      </c>
      <c r="AC218" s="3">
        <v>21.28</v>
      </c>
      <c r="AD218" s="2" cm="1">
        <f t="array" ref="AD218">SUM($F$2:$F$43*($C$2:$C$43=$Q$4))</f>
        <v>12.159000000000001</v>
      </c>
      <c r="AE218" s="3">
        <f t="shared" si="20"/>
        <v>258.74352000000005</v>
      </c>
      <c r="AF218" s="3">
        <v>16.100000000000001</v>
      </c>
      <c r="AG218" s="2" cm="1">
        <f t="array" ref="AG218">SUM($F$2:$F$43*($C$2:$C$43=$Q$5))</f>
        <v>43.272999999999996</v>
      </c>
      <c r="AH218" s="3">
        <f t="shared" si="21"/>
        <v>696.69529999999997</v>
      </c>
      <c r="AI218" s="3">
        <v>23.21</v>
      </c>
      <c r="AJ218" s="2" cm="1">
        <f t="array" ref="AJ218">SUM($F$2:$F$43*($C$2:$C$43=$Q$6))</f>
        <v>0</v>
      </c>
      <c r="AK218" s="3">
        <f t="shared" si="22"/>
        <v>0</v>
      </c>
      <c r="AL218" s="3">
        <v>15.49</v>
      </c>
      <c r="AM218" s="2" cm="1">
        <f t="array" ref="AM218">SUM($F$2:$F$43*($C$2:$C$43=$Q$8))</f>
        <v>0</v>
      </c>
      <c r="AN218" s="3">
        <f t="shared" si="23"/>
        <v>0</v>
      </c>
      <c r="AO218" s="3">
        <f>SUM(J2:J43)</f>
        <v>1503.2900000000004</v>
      </c>
      <c r="AP2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4243.4303060000002</v>
      </c>
      <c r="AQ218" s="3" cm="1">
        <f t="array" aca="1" ref="AQ218" ca="1">OFFSET(Table7[[#This Row],[Investment Increase]],0,-1)-SUM($J$2:$J$43*($E$2:$E$43=$Q$31))</f>
        <v>804.4303060000002</v>
      </c>
    </row>
    <row r="219" spans="22:43" x14ac:dyDescent="0.45">
      <c r="V219" s="9">
        <v>44431</v>
      </c>
      <c r="W219" s="3">
        <v>188.29</v>
      </c>
      <c r="X219" s="2" cm="1">
        <f t="array" ref="X219">SUM($F$2:$F$43*($C$2:$C$43=$Q$2))</f>
        <v>3.9319999999999999</v>
      </c>
      <c r="Y219" s="3">
        <f t="shared" si="18"/>
        <v>740.35627999999997</v>
      </c>
      <c r="Z219" s="3">
        <v>191.76</v>
      </c>
      <c r="AA219" s="2" cm="1">
        <f t="array" ref="AA219">SUM($F$2:$F$43*($C$2:$C$43=$Q$3))</f>
        <v>5.3841000000000001</v>
      </c>
      <c r="AB219" s="3">
        <f t="shared" si="19"/>
        <v>1032.4550159999999</v>
      </c>
      <c r="AC219" s="3">
        <v>21.12</v>
      </c>
      <c r="AD219" s="2" cm="1">
        <f t="array" ref="AD219">SUM($F$2:$F$43*($C$2:$C$43=$Q$4))</f>
        <v>12.159000000000001</v>
      </c>
      <c r="AE219" s="3">
        <f t="shared" si="20"/>
        <v>256.79808000000003</v>
      </c>
      <c r="AF219" s="3">
        <v>16.059999999999999</v>
      </c>
      <c r="AG219" s="2" cm="1">
        <f t="array" ref="AG219">SUM($F$2:$F$43*($C$2:$C$43=$Q$5))</f>
        <v>43.272999999999996</v>
      </c>
      <c r="AH219" s="3">
        <f t="shared" si="21"/>
        <v>694.96437999999989</v>
      </c>
      <c r="AI219" s="3">
        <v>23.15</v>
      </c>
      <c r="AJ219" s="2" cm="1">
        <f t="array" ref="AJ219">SUM($F$2:$F$43*($C$2:$C$43=$Q$6))</f>
        <v>0</v>
      </c>
      <c r="AK219" s="3">
        <f t="shared" si="22"/>
        <v>0</v>
      </c>
      <c r="AL219" s="3">
        <v>15.25</v>
      </c>
      <c r="AM219" s="2" cm="1">
        <f t="array" ref="AM219">SUM($F$2:$F$43*($C$2:$C$43=$Q$8))</f>
        <v>0</v>
      </c>
      <c r="AN219" s="3">
        <f t="shared" si="23"/>
        <v>0</v>
      </c>
      <c r="AO219" s="3">
        <f>SUM(J2:J43)</f>
        <v>1503.2900000000004</v>
      </c>
      <c r="AP2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4227.8637560000006</v>
      </c>
      <c r="AQ219" s="3" cm="1">
        <f t="array" aca="1" ref="AQ219" ca="1">OFFSET(Table7[[#This Row],[Investment Increase]],0,-1)-SUM($J$2:$J$43*($E$2:$E$43=$Q$31))</f>
        <v>788.86375600000065</v>
      </c>
    </row>
    <row r="220" spans="22:43" x14ac:dyDescent="0.45">
      <c r="V220" s="9">
        <v>44428</v>
      </c>
      <c r="W220" s="3">
        <v>185.42</v>
      </c>
      <c r="X220" s="2" cm="1">
        <f t="array" ref="X220">SUM($F$2:$F$43*($C$2:$C$43=$Q$2))</f>
        <v>3.9319999999999999</v>
      </c>
      <c r="Y220" s="3">
        <f t="shared" si="18"/>
        <v>729.07143999999994</v>
      </c>
      <c r="Z220" s="3">
        <v>188.42</v>
      </c>
      <c r="AA220" s="2" cm="1">
        <f t="array" ref="AA220">SUM($F$2:$F$43*($C$2:$C$43=$Q$3))</f>
        <v>5.3841000000000001</v>
      </c>
      <c r="AB220" s="3">
        <f t="shared" si="19"/>
        <v>1014.4721219999999</v>
      </c>
      <c r="AC220" s="3">
        <v>20.81</v>
      </c>
      <c r="AD220" s="2" cm="1">
        <f t="array" ref="AD220">SUM($F$2:$F$43*($C$2:$C$43=$Q$4))</f>
        <v>12.159000000000001</v>
      </c>
      <c r="AE220" s="3">
        <f t="shared" si="20"/>
        <v>253.02878999999999</v>
      </c>
      <c r="AF220" s="3">
        <v>15.92</v>
      </c>
      <c r="AG220" s="2" cm="1">
        <f t="array" ref="AG220">SUM($F$2:$F$43*($C$2:$C$43=$Q$5))</f>
        <v>43.272999999999996</v>
      </c>
      <c r="AH220" s="3">
        <f t="shared" si="21"/>
        <v>688.90615999999989</v>
      </c>
      <c r="AI220" s="3">
        <v>22.93</v>
      </c>
      <c r="AJ220" s="2" cm="1">
        <f t="array" ref="AJ220">SUM($F$2:$F$43*($C$2:$C$43=$Q$6))</f>
        <v>0</v>
      </c>
      <c r="AK220" s="3">
        <f t="shared" si="22"/>
        <v>0</v>
      </c>
      <c r="AL220" s="3">
        <v>14.91</v>
      </c>
      <c r="AM220" s="2" cm="1">
        <f t="array" ref="AM220">SUM($F$2:$F$43*($C$2:$C$43=$Q$8))</f>
        <v>0</v>
      </c>
      <c r="AN220" s="3">
        <f t="shared" si="23"/>
        <v>0</v>
      </c>
      <c r="AO220" s="3">
        <f>SUM(J2:J43)</f>
        <v>1503.2900000000004</v>
      </c>
      <c r="AP2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4188.7685120000006</v>
      </c>
      <c r="AQ220" s="3" cm="1">
        <f t="array" aca="1" ref="AQ220" ca="1">OFFSET(Table7[[#This Row],[Investment Increase]],0,-1)-SUM($J$2:$J$43*($E$2:$E$43=$Q$31))</f>
        <v>749.76851200000056</v>
      </c>
    </row>
    <row r="221" spans="22:43" x14ac:dyDescent="0.45">
      <c r="V221" s="9">
        <v>44427</v>
      </c>
      <c r="W221" s="3">
        <v>183.24</v>
      </c>
      <c r="X221" s="2" cm="1">
        <f t="array" ref="X221">SUM($F$2:$F$43*($C$2:$C$43=$Q$2))</f>
        <v>3.9319999999999999</v>
      </c>
      <c r="Y221" s="3">
        <f t="shared" si="18"/>
        <v>720.49968000000001</v>
      </c>
      <c r="Z221" s="3">
        <v>186</v>
      </c>
      <c r="AA221" s="2" cm="1">
        <f t="array" ref="AA221">SUM($F$2:$F$43*($C$2:$C$43=$Q$3))</f>
        <v>5.3841000000000001</v>
      </c>
      <c r="AB221" s="3">
        <f t="shared" si="19"/>
        <v>1001.4426</v>
      </c>
      <c r="AC221" s="3">
        <v>20.56</v>
      </c>
      <c r="AD221" s="2" cm="1">
        <f t="array" ref="AD221">SUM($F$2:$F$43*($C$2:$C$43=$Q$4))</f>
        <v>12.159000000000001</v>
      </c>
      <c r="AE221" s="3">
        <f t="shared" si="20"/>
        <v>249.98903999999999</v>
      </c>
      <c r="AF221" s="3">
        <v>15.79</v>
      </c>
      <c r="AG221" s="2" cm="1">
        <f t="array" ref="AG221">SUM($F$2:$F$43*($C$2:$C$43=$Q$5))</f>
        <v>43.272999999999996</v>
      </c>
      <c r="AH221" s="3">
        <f t="shared" si="21"/>
        <v>683.28066999999987</v>
      </c>
      <c r="AI221" s="3">
        <v>22.73</v>
      </c>
      <c r="AJ221" s="2" cm="1">
        <f t="array" ref="AJ221">SUM($F$2:$F$43*($C$2:$C$43=$Q$6))</f>
        <v>0</v>
      </c>
      <c r="AK221" s="3">
        <f t="shared" si="22"/>
        <v>0</v>
      </c>
      <c r="AL221" s="3">
        <v>14.85</v>
      </c>
      <c r="AM221" s="2" cm="1">
        <f t="array" ref="AM221">SUM($F$2:$F$43*($C$2:$C$43=$Q$8))</f>
        <v>0</v>
      </c>
      <c r="AN221" s="3">
        <f t="shared" si="23"/>
        <v>0</v>
      </c>
      <c r="AO221" s="3">
        <f>SUM(J2:J43)</f>
        <v>1503.2900000000004</v>
      </c>
      <c r="AP2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4158.5019900000007</v>
      </c>
      <c r="AQ221" s="3" cm="1">
        <f t="array" aca="1" ref="AQ221" ca="1">OFFSET(Table7[[#This Row],[Investment Increase]],0,-1)-SUM($J$2:$J$43*($E$2:$E$43=$Q$31))</f>
        <v>719.50199000000066</v>
      </c>
    </row>
    <row r="222" spans="22:43" x14ac:dyDescent="0.45">
      <c r="V222" s="9">
        <v>44426</v>
      </c>
      <c r="W222" s="3">
        <v>183.01</v>
      </c>
      <c r="X222" s="2" cm="1">
        <f t="array" ref="X222">SUM($F$2:$F$43*($C$2:$C$43=$Q$2))</f>
        <v>3.9319999999999999</v>
      </c>
      <c r="Y222" s="3">
        <f t="shared" si="18"/>
        <v>719.5953199999999</v>
      </c>
      <c r="Z222" s="3">
        <v>186.23</v>
      </c>
      <c r="AA222" s="2" cm="1">
        <f t="array" ref="AA222">SUM($F$2:$F$43*($C$2:$C$43=$Q$3))</f>
        <v>5.3841000000000001</v>
      </c>
      <c r="AB222" s="3">
        <f t="shared" si="19"/>
        <v>1002.680943</v>
      </c>
      <c r="AC222" s="3">
        <v>20.49</v>
      </c>
      <c r="AD222" s="2" cm="1">
        <f t="array" ref="AD222">SUM($F$2:$F$43*($C$2:$C$43=$Q$4))</f>
        <v>12.159000000000001</v>
      </c>
      <c r="AE222" s="3">
        <f t="shared" si="20"/>
        <v>249.13791000000001</v>
      </c>
      <c r="AF222" s="3">
        <v>15.77</v>
      </c>
      <c r="AG222" s="2" cm="1">
        <f t="array" ref="AG222">SUM($F$2:$F$43*($C$2:$C$43=$Q$5))</f>
        <v>43.272999999999996</v>
      </c>
      <c r="AH222" s="3">
        <f t="shared" si="21"/>
        <v>682.41520999999989</v>
      </c>
      <c r="AI222" s="3">
        <v>22.75</v>
      </c>
      <c r="AJ222" s="2" cm="1">
        <f t="array" ref="AJ222">SUM($F$2:$F$43*($C$2:$C$43=$Q$6))</f>
        <v>0</v>
      </c>
      <c r="AK222" s="3">
        <f t="shared" si="22"/>
        <v>0</v>
      </c>
      <c r="AL222" s="3">
        <v>15.38</v>
      </c>
      <c r="AM222" s="2" cm="1">
        <f t="array" ref="AM222">SUM($F$2:$F$43*($C$2:$C$43=$Q$8))</f>
        <v>0</v>
      </c>
      <c r="AN222" s="3">
        <f t="shared" si="23"/>
        <v>0</v>
      </c>
      <c r="AO222" s="3">
        <f>SUM(J2:J43)</f>
        <v>1503.2900000000004</v>
      </c>
      <c r="AP2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4157.1193829999993</v>
      </c>
      <c r="AQ222" s="3" cm="1">
        <f t="array" aca="1" ref="AQ222" ca="1">OFFSET(Table7[[#This Row],[Investment Increase]],0,-1)-SUM($J$2:$J$43*($E$2:$E$43=$Q$31))</f>
        <v>718.11938299999929</v>
      </c>
    </row>
    <row r="223" spans="22:43" x14ac:dyDescent="0.45">
      <c r="V223" s="9">
        <v>44425</v>
      </c>
      <c r="W223" s="3">
        <v>184.63</v>
      </c>
      <c r="X223" s="2" cm="1">
        <f t="array" ref="X223">SUM($F$2:$F$43*($C$2:$C$43=$Q$2))</f>
        <v>3.9319999999999999</v>
      </c>
      <c r="Y223" s="3">
        <f t="shared" si="18"/>
        <v>725.96515999999997</v>
      </c>
      <c r="Z223" s="3">
        <v>187.21</v>
      </c>
      <c r="AA223" s="2" cm="1">
        <f t="array" ref="AA223">SUM($F$2:$F$43*($C$2:$C$43=$Q$3))</f>
        <v>5.3841000000000001</v>
      </c>
      <c r="AB223" s="3">
        <f t="shared" si="19"/>
        <v>1007.9573610000001</v>
      </c>
      <c r="AC223" s="3">
        <v>20.66</v>
      </c>
      <c r="AD223" s="2" cm="1">
        <f t="array" ref="AD223">SUM($F$2:$F$43*($C$2:$C$43=$Q$4))</f>
        <v>12.159000000000001</v>
      </c>
      <c r="AE223" s="3">
        <f t="shared" si="20"/>
        <v>251.20494000000002</v>
      </c>
      <c r="AF223" s="3">
        <v>15.93</v>
      </c>
      <c r="AG223" s="2" cm="1">
        <f t="array" ref="AG223">SUM($F$2:$F$43*($C$2:$C$43=$Q$5))</f>
        <v>43.272999999999996</v>
      </c>
      <c r="AH223" s="3">
        <f t="shared" si="21"/>
        <v>689.33888999999988</v>
      </c>
      <c r="AI223" s="3">
        <v>22.98</v>
      </c>
      <c r="AJ223" s="2" cm="1">
        <f t="array" ref="AJ223">SUM($F$2:$F$43*($C$2:$C$43=$Q$6))</f>
        <v>0</v>
      </c>
      <c r="AK223" s="3">
        <f t="shared" si="22"/>
        <v>0</v>
      </c>
      <c r="AL223" s="3">
        <v>15.68</v>
      </c>
      <c r="AM223" s="2" cm="1">
        <f t="array" ref="AM223">SUM($F$2:$F$43*($C$2:$C$43=$Q$8))</f>
        <v>0</v>
      </c>
      <c r="AN223" s="3">
        <f t="shared" si="23"/>
        <v>0</v>
      </c>
      <c r="AO223" s="3">
        <f>SUM(J2:J43)</f>
        <v>1503.2900000000004</v>
      </c>
      <c r="AP2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4177.756351</v>
      </c>
      <c r="AQ223" s="3" cm="1">
        <f t="array" aca="1" ref="AQ223" ca="1">OFFSET(Table7[[#This Row],[Investment Increase]],0,-1)-SUM($J$2:$J$43*($E$2:$E$43=$Q$31))</f>
        <v>738.756351</v>
      </c>
    </row>
    <row r="224" spans="22:43" x14ac:dyDescent="0.45">
      <c r="V224" s="9">
        <v>44424</v>
      </c>
      <c r="W224" s="3">
        <v>186.35</v>
      </c>
      <c r="X224" s="2" cm="1">
        <f t="array" ref="X224">SUM($F$2:$F$43*($C$2:$C$43=$Q$2))</f>
        <v>3.9319999999999999</v>
      </c>
      <c r="Y224" s="3">
        <f t="shared" si="18"/>
        <v>732.72820000000002</v>
      </c>
      <c r="Z224" s="3">
        <v>189.88</v>
      </c>
      <c r="AA224" s="2" cm="1">
        <f t="array" ref="AA224">SUM($F$2:$F$43*($C$2:$C$43=$Q$3))</f>
        <v>5.3841000000000001</v>
      </c>
      <c r="AB224" s="3">
        <f t="shared" si="19"/>
        <v>1022.332908</v>
      </c>
      <c r="AC224" s="3">
        <v>20.9</v>
      </c>
      <c r="AD224" s="2" cm="1">
        <f t="array" ref="AD224">SUM($F$2:$F$43*($C$2:$C$43=$Q$4))</f>
        <v>12.159000000000001</v>
      </c>
      <c r="AE224" s="3">
        <f t="shared" si="20"/>
        <v>254.12309999999999</v>
      </c>
      <c r="AF224" s="3">
        <v>16.04</v>
      </c>
      <c r="AG224" s="2" cm="1">
        <f t="array" ref="AG224">SUM($F$2:$F$43*($C$2:$C$43=$Q$5))</f>
        <v>43.272999999999996</v>
      </c>
      <c r="AH224" s="3">
        <f t="shared" si="21"/>
        <v>694.09891999999991</v>
      </c>
      <c r="AI224" s="3">
        <v>23.17</v>
      </c>
      <c r="AJ224" s="2" cm="1">
        <f t="array" ref="AJ224">SUM($F$2:$F$43*($C$2:$C$43=$Q$6))</f>
        <v>0</v>
      </c>
      <c r="AK224" s="3">
        <f t="shared" si="22"/>
        <v>0</v>
      </c>
      <c r="AL224" s="3">
        <v>15.93</v>
      </c>
      <c r="AM224" s="2" cm="1">
        <f t="array" ref="AM224">SUM($F$2:$F$43*($C$2:$C$43=$Q$8))</f>
        <v>0</v>
      </c>
      <c r="AN224" s="3">
        <f t="shared" si="23"/>
        <v>0</v>
      </c>
      <c r="AO224" s="3">
        <f>SUM(J2:J43)</f>
        <v>1503.2900000000004</v>
      </c>
      <c r="AP2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4206.573128</v>
      </c>
      <c r="AQ224" s="3" cm="1">
        <f t="array" aca="1" ref="AQ224" ca="1">OFFSET(Table7[[#This Row],[Investment Increase]],0,-1)-SUM($J$2:$J$43*($E$2:$E$43=$Q$31))</f>
        <v>767.573128</v>
      </c>
    </row>
    <row r="225" spans="22:43" x14ac:dyDescent="0.45">
      <c r="V225" s="9">
        <v>44421</v>
      </c>
      <c r="W225" s="3">
        <v>186.7</v>
      </c>
      <c r="X225" s="2" cm="1">
        <f t="array" ref="X225">SUM($F$2:$F$43*($C$2:$C$43=$Q$2))</f>
        <v>3.9319999999999999</v>
      </c>
      <c r="Y225" s="3">
        <f t="shared" si="18"/>
        <v>734.10439999999994</v>
      </c>
      <c r="Z225" s="3">
        <v>191.1</v>
      </c>
      <c r="AA225" s="2" cm="1">
        <f t="array" ref="AA225">SUM($F$2:$F$43*($C$2:$C$43=$Q$3))</f>
        <v>5.3841000000000001</v>
      </c>
      <c r="AB225" s="3">
        <f t="shared" si="19"/>
        <v>1028.9015099999999</v>
      </c>
      <c r="AC225" s="3">
        <v>20.9</v>
      </c>
      <c r="AD225" s="2" cm="1">
        <f t="array" ref="AD225">SUM($F$2:$F$43*($C$2:$C$43=$Q$4))</f>
        <v>12.159000000000001</v>
      </c>
      <c r="AE225" s="3">
        <f t="shared" si="20"/>
        <v>254.12309999999999</v>
      </c>
      <c r="AF225" s="3">
        <v>16.010000000000002</v>
      </c>
      <c r="AG225" s="2" cm="1">
        <f t="array" ref="AG225">SUM($F$2:$F$43*($C$2:$C$43=$Q$5))</f>
        <v>43.272999999999996</v>
      </c>
      <c r="AH225" s="3">
        <f t="shared" si="21"/>
        <v>692.80073000000004</v>
      </c>
      <c r="AI225" s="3">
        <v>23.13</v>
      </c>
      <c r="AJ225" s="2" cm="1">
        <f t="array" ref="AJ225">SUM($F$2:$F$43*($C$2:$C$43=$Q$6))</f>
        <v>0</v>
      </c>
      <c r="AK225" s="3">
        <f t="shared" si="22"/>
        <v>0</v>
      </c>
      <c r="AL225" s="3">
        <v>16.190000000000001</v>
      </c>
      <c r="AM225" s="2" cm="1">
        <f t="array" ref="AM225">SUM($F$2:$F$43*($C$2:$C$43=$Q$8))</f>
        <v>0</v>
      </c>
      <c r="AN225" s="3">
        <f t="shared" si="23"/>
        <v>0</v>
      </c>
      <c r="AO225" s="3">
        <f>SUM(J2:J43)</f>
        <v>1503.2900000000004</v>
      </c>
      <c r="AP2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4213.2197400000005</v>
      </c>
      <c r="AQ225" s="3" cm="1">
        <f t="array" aca="1" ref="AQ225" ca="1">OFFSET(Table7[[#This Row],[Investment Increase]],0,-1)-SUM($J$2:$J$43*($E$2:$E$43=$Q$31))</f>
        <v>774.21974000000046</v>
      </c>
    </row>
    <row r="226" spans="22:43" x14ac:dyDescent="0.45">
      <c r="V226" s="9">
        <v>44420</v>
      </c>
      <c r="W226" s="3">
        <v>186.61</v>
      </c>
      <c r="X226" s="2" cm="1">
        <f t="array" ref="X226">SUM($F$2:$F$43*($C$2:$C$43=$Q$2))</f>
        <v>3.9319999999999999</v>
      </c>
      <c r="Y226" s="3">
        <f t="shared" si="18"/>
        <v>733.75052000000005</v>
      </c>
      <c r="Z226" s="3">
        <v>191.16</v>
      </c>
      <c r="AA226" s="2" cm="1">
        <f t="array" ref="AA226">SUM($F$2:$F$43*($C$2:$C$43=$Q$3))</f>
        <v>5.3841000000000001</v>
      </c>
      <c r="AB226" s="3">
        <f t="shared" si="19"/>
        <v>1029.2245559999999</v>
      </c>
      <c r="AC226" s="3">
        <v>20.85</v>
      </c>
      <c r="AD226" s="2" cm="1">
        <f t="array" ref="AD226">SUM($F$2:$F$43*($C$2:$C$43=$Q$4))</f>
        <v>12.159000000000001</v>
      </c>
      <c r="AE226" s="3">
        <f t="shared" si="20"/>
        <v>253.51515000000003</v>
      </c>
      <c r="AF226" s="3">
        <v>15.99</v>
      </c>
      <c r="AG226" s="2" cm="1">
        <f t="array" ref="AG226">SUM($F$2:$F$43*($C$2:$C$43=$Q$5))</f>
        <v>43.272999999999996</v>
      </c>
      <c r="AH226" s="3">
        <f t="shared" si="21"/>
        <v>691.93526999999995</v>
      </c>
      <c r="AI226" s="3">
        <v>23.1</v>
      </c>
      <c r="AJ226" s="2" cm="1">
        <f t="array" ref="AJ226">SUM($F$2:$F$43*($C$2:$C$43=$Q$6))</f>
        <v>0</v>
      </c>
      <c r="AK226" s="3">
        <f t="shared" si="22"/>
        <v>0</v>
      </c>
      <c r="AL226" s="3">
        <v>16.190000000000001</v>
      </c>
      <c r="AM226" s="2" cm="1">
        <f t="array" ref="AM226">SUM($F$2:$F$43*($C$2:$C$43=$Q$8))</f>
        <v>0</v>
      </c>
      <c r="AN226" s="3">
        <f t="shared" si="23"/>
        <v>0</v>
      </c>
      <c r="AO226" s="3">
        <f>SUM(J2:J43)</f>
        <v>1503.2900000000004</v>
      </c>
      <c r="AP2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4211.7154960000007</v>
      </c>
      <c r="AQ226" s="3" cm="1">
        <f t="array" aca="1" ref="AQ226" ca="1">OFFSET(Table7[[#This Row],[Investment Increase]],0,-1)-SUM($J$2:$J$43*($E$2:$E$43=$Q$31))</f>
        <v>772.71549600000071</v>
      </c>
    </row>
    <row r="227" spans="22:43" x14ac:dyDescent="0.45">
      <c r="V227" s="9">
        <v>44419</v>
      </c>
      <c r="W227" s="3">
        <v>185.94</v>
      </c>
      <c r="X227" s="2" cm="1">
        <f t="array" ref="X227">SUM($F$2:$F$43*($C$2:$C$43=$Q$2))</f>
        <v>3.9319999999999999</v>
      </c>
      <c r="Y227" s="3">
        <f t="shared" si="18"/>
        <v>731.11608000000001</v>
      </c>
      <c r="Z227" s="3">
        <v>190.17</v>
      </c>
      <c r="AA227" s="2" cm="1">
        <f t="array" ref="AA227">SUM($F$2:$F$43*($C$2:$C$43=$Q$3))</f>
        <v>5.3841000000000001</v>
      </c>
      <c r="AB227" s="3">
        <f t="shared" si="19"/>
        <v>1023.8942969999999</v>
      </c>
      <c r="AC227" s="3">
        <v>20.78</v>
      </c>
      <c r="AD227" s="2" cm="1">
        <f t="array" ref="AD227">SUM($F$2:$F$43*($C$2:$C$43=$Q$4))</f>
        <v>12.159000000000001</v>
      </c>
      <c r="AE227" s="3">
        <f t="shared" si="20"/>
        <v>252.66402000000002</v>
      </c>
      <c r="AF227" s="3">
        <v>15.93</v>
      </c>
      <c r="AG227" s="2" cm="1">
        <f t="array" ref="AG227">SUM($F$2:$F$43*($C$2:$C$43=$Q$5))</f>
        <v>43.272999999999996</v>
      </c>
      <c r="AH227" s="3">
        <f t="shared" si="21"/>
        <v>689.33888999999988</v>
      </c>
      <c r="AI227" s="3">
        <v>23.02</v>
      </c>
      <c r="AJ227" s="2" cm="1">
        <f t="array" ref="AJ227">SUM($F$2:$F$43*($C$2:$C$43=$Q$6))</f>
        <v>0</v>
      </c>
      <c r="AK227" s="3">
        <f t="shared" si="22"/>
        <v>0</v>
      </c>
      <c r="AL227" s="3">
        <v>16.25</v>
      </c>
      <c r="AM227" s="2" cm="1">
        <f t="array" ref="AM227">SUM($F$2:$F$43*($C$2:$C$43=$Q$8))</f>
        <v>0</v>
      </c>
      <c r="AN227" s="3">
        <f t="shared" si="23"/>
        <v>0</v>
      </c>
      <c r="AO227" s="3">
        <f>SUM(J2:J43)</f>
        <v>1503.2900000000004</v>
      </c>
      <c r="AP2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4200.3032870000006</v>
      </c>
      <c r="AQ227" s="3" cm="1">
        <f t="array" aca="1" ref="AQ227" ca="1">OFFSET(Table7[[#This Row],[Investment Increase]],0,-1)-SUM($J$2:$J$43*($E$2:$E$43=$Q$31))</f>
        <v>761.30328700000064</v>
      </c>
    </row>
    <row r="228" spans="22:43" x14ac:dyDescent="0.45">
      <c r="V228" s="9">
        <v>44418</v>
      </c>
      <c r="W228" s="3">
        <v>186.22</v>
      </c>
      <c r="X228" s="2" cm="1">
        <f t="array" ref="X228">SUM($F$2:$F$43*($C$2:$C$43=$Q$2))</f>
        <v>3.9319999999999999</v>
      </c>
      <c r="Y228" s="3">
        <f t="shared" si="18"/>
        <v>732.21704</v>
      </c>
      <c r="Z228" s="3">
        <v>190.51</v>
      </c>
      <c r="AA228" s="2" cm="1">
        <f t="array" ref="AA228">SUM($F$2:$F$43*($C$2:$C$43=$Q$3))</f>
        <v>5.3841000000000001</v>
      </c>
      <c r="AB228" s="3">
        <f t="shared" si="19"/>
        <v>1025.7248910000001</v>
      </c>
      <c r="AC228" s="3">
        <v>20.81</v>
      </c>
      <c r="AD228" s="2" cm="1">
        <f t="array" ref="AD228">SUM($F$2:$F$43*($C$2:$C$43=$Q$4))</f>
        <v>12.159000000000001</v>
      </c>
      <c r="AE228" s="3">
        <f t="shared" si="20"/>
        <v>253.02878999999999</v>
      </c>
      <c r="AF228" s="3">
        <v>15.9</v>
      </c>
      <c r="AG228" s="2" cm="1">
        <f t="array" ref="AG228">SUM($F$2:$F$43*($C$2:$C$43=$Q$5))</f>
        <v>43.272999999999996</v>
      </c>
      <c r="AH228" s="3">
        <f t="shared" si="21"/>
        <v>688.0406999999999</v>
      </c>
      <c r="AI228" s="3">
        <v>22.94</v>
      </c>
      <c r="AJ228" s="2" cm="1">
        <f t="array" ref="AJ228">SUM($F$2:$F$43*($C$2:$C$43=$Q$6))</f>
        <v>0</v>
      </c>
      <c r="AK228" s="3">
        <f t="shared" si="22"/>
        <v>0</v>
      </c>
      <c r="AL228" s="3">
        <v>16.12</v>
      </c>
      <c r="AM228" s="2" cm="1">
        <f t="array" ref="AM228">SUM($F$2:$F$43*($C$2:$C$43=$Q$8))</f>
        <v>0</v>
      </c>
      <c r="AN228" s="3">
        <f t="shared" si="23"/>
        <v>0</v>
      </c>
      <c r="AO228" s="3">
        <f>SUM(J2:J43)</f>
        <v>1503.2900000000004</v>
      </c>
      <c r="AP2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4202.3014210000001</v>
      </c>
      <c r="AQ228" s="3" cm="1">
        <f t="array" aca="1" ref="AQ228" ca="1">OFFSET(Table7[[#This Row],[Investment Increase]],0,-1)-SUM($J$2:$J$43*($E$2:$E$43=$Q$31))</f>
        <v>763.30142100000012</v>
      </c>
    </row>
    <row r="229" spans="22:43" x14ac:dyDescent="0.45">
      <c r="V229" s="9">
        <v>44417</v>
      </c>
      <c r="W229" s="3">
        <v>187.13</v>
      </c>
      <c r="X229" s="2" cm="1">
        <f t="array" ref="X229">SUM($F$2:$F$43*($C$2:$C$43=$Q$2))</f>
        <v>3.9319999999999999</v>
      </c>
      <c r="Y229" s="3">
        <f t="shared" si="18"/>
        <v>735.79516000000001</v>
      </c>
      <c r="Z229" s="3">
        <v>191.01</v>
      </c>
      <c r="AA229" s="2" cm="1">
        <f t="array" ref="AA229">SUM($F$2:$F$43*($C$2:$C$43=$Q$3))</f>
        <v>5.3841000000000001</v>
      </c>
      <c r="AB229" s="3">
        <f t="shared" si="19"/>
        <v>1028.416941</v>
      </c>
      <c r="AC229" s="3">
        <v>20.92</v>
      </c>
      <c r="AD229" s="2" cm="1">
        <f t="array" ref="AD229">SUM($F$2:$F$43*($C$2:$C$43=$Q$4))</f>
        <v>12.159000000000001</v>
      </c>
      <c r="AE229" s="3">
        <f t="shared" si="20"/>
        <v>254.36628000000005</v>
      </c>
      <c r="AF229" s="3">
        <v>15.9</v>
      </c>
      <c r="AG229" s="2" cm="1">
        <f t="array" ref="AG229">SUM($F$2:$F$43*($C$2:$C$43=$Q$5))</f>
        <v>43.272999999999996</v>
      </c>
      <c r="AH229" s="3">
        <f t="shared" si="21"/>
        <v>688.0406999999999</v>
      </c>
      <c r="AI229" s="3">
        <v>22.87</v>
      </c>
      <c r="AJ229" s="2" cm="1">
        <f t="array" ref="AJ229">SUM($F$2:$F$43*($C$2:$C$43=$Q$6))</f>
        <v>0</v>
      </c>
      <c r="AK229" s="3">
        <f t="shared" si="22"/>
        <v>0</v>
      </c>
      <c r="AL229" s="3">
        <v>15.84</v>
      </c>
      <c r="AM229" s="2" cm="1">
        <f t="array" ref="AM229">SUM($F$2:$F$43*($C$2:$C$43=$Q$8))</f>
        <v>0</v>
      </c>
      <c r="AN229" s="3">
        <f t="shared" si="23"/>
        <v>0</v>
      </c>
      <c r="AO229" s="3">
        <f>SUM(J2:J43)</f>
        <v>1503.2900000000004</v>
      </c>
      <c r="AP2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4209.9090809999998</v>
      </c>
      <c r="AQ229" s="3" cm="1">
        <f t="array" aca="1" ref="AQ229" ca="1">OFFSET(Table7[[#This Row],[Investment Increase]],0,-1)-SUM($J$2:$J$43*($E$2:$E$43=$Q$31))</f>
        <v>770.90908099999979</v>
      </c>
    </row>
    <row r="230" spans="22:43" x14ac:dyDescent="0.45">
      <c r="V230" s="9">
        <v>44414</v>
      </c>
      <c r="W230" s="3">
        <v>186.84</v>
      </c>
      <c r="X230" s="2" cm="1">
        <f t="array" ref="X230">SUM($F$2:$F$43*($C$2:$C$43=$Q$2))</f>
        <v>3.9319999999999999</v>
      </c>
      <c r="Y230" s="3">
        <f t="shared" si="18"/>
        <v>734.65488000000005</v>
      </c>
      <c r="Z230" s="3">
        <v>190.59</v>
      </c>
      <c r="AA230" s="2" cm="1">
        <f t="array" ref="AA230">SUM($F$2:$F$43*($C$2:$C$43=$Q$3))</f>
        <v>5.3841000000000001</v>
      </c>
      <c r="AB230" s="3">
        <f t="shared" si="19"/>
        <v>1026.1556190000001</v>
      </c>
      <c r="AC230" s="3">
        <v>20.9</v>
      </c>
      <c r="AD230" s="2" cm="1">
        <f t="array" ref="AD230">SUM($F$2:$F$43*($C$2:$C$43=$Q$4))</f>
        <v>12.159000000000001</v>
      </c>
      <c r="AE230" s="3">
        <f t="shared" si="20"/>
        <v>254.12309999999999</v>
      </c>
      <c r="AF230" s="3">
        <v>15.91</v>
      </c>
      <c r="AG230" s="2" cm="1">
        <f t="array" ref="AG230">SUM($F$2:$F$43*($C$2:$C$43=$Q$5))</f>
        <v>43.272999999999996</v>
      </c>
      <c r="AH230" s="3">
        <f t="shared" si="21"/>
        <v>688.47342999999989</v>
      </c>
      <c r="AI230" s="3">
        <v>22.89</v>
      </c>
      <c r="AJ230" s="2" cm="1">
        <f t="array" ref="AJ230">SUM($F$2:$F$43*($C$2:$C$43=$Q$6))</f>
        <v>0</v>
      </c>
      <c r="AK230" s="3">
        <f t="shared" si="22"/>
        <v>0</v>
      </c>
      <c r="AL230" s="3">
        <v>15.89</v>
      </c>
      <c r="AM230" s="2" cm="1">
        <f t="array" ref="AM230">SUM($F$2:$F$43*($C$2:$C$43=$Q$8))</f>
        <v>0</v>
      </c>
      <c r="AN230" s="3">
        <f t="shared" si="23"/>
        <v>0</v>
      </c>
      <c r="AO230" s="3">
        <f>SUM(J2:J43)</f>
        <v>1503.2900000000004</v>
      </c>
      <c r="AP2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4206.6970290000008</v>
      </c>
      <c r="AQ230" s="3" cm="1">
        <f t="array" aca="1" ref="AQ230" ca="1">OFFSET(Table7[[#This Row],[Investment Increase]],0,-1)-SUM($J$2:$J$43*($E$2:$E$43=$Q$31))</f>
        <v>767.69702900000084</v>
      </c>
    </row>
    <row r="231" spans="22:43" x14ac:dyDescent="0.45">
      <c r="V231" s="9">
        <v>44413</v>
      </c>
      <c r="W231" s="3">
        <v>187.56</v>
      </c>
      <c r="X231" s="2" cm="1">
        <f t="array" ref="X231">SUM($F$2:$F$43*($C$2:$C$43=$Q$2))</f>
        <v>3.9319999999999999</v>
      </c>
      <c r="Y231" s="3">
        <f t="shared" si="18"/>
        <v>737.48591999999996</v>
      </c>
      <c r="Z231" s="3">
        <v>191.41</v>
      </c>
      <c r="AA231" s="2" cm="1">
        <f t="array" ref="AA231">SUM($F$2:$F$43*($C$2:$C$43=$Q$3))</f>
        <v>5.3841000000000001</v>
      </c>
      <c r="AB231" s="3">
        <f t="shared" si="19"/>
        <v>1030.5705809999999</v>
      </c>
      <c r="AC231" s="3">
        <v>20.99</v>
      </c>
      <c r="AD231" s="2" cm="1">
        <f t="array" ref="AD231">SUM($F$2:$F$43*($C$2:$C$43=$Q$4))</f>
        <v>12.159000000000001</v>
      </c>
      <c r="AE231" s="3">
        <f t="shared" si="20"/>
        <v>255.21741</v>
      </c>
      <c r="AF231" s="3">
        <v>15.9</v>
      </c>
      <c r="AG231" s="2" cm="1">
        <f t="array" ref="AG231">SUM($F$2:$F$43*($C$2:$C$43=$Q$5))</f>
        <v>43.272999999999996</v>
      </c>
      <c r="AH231" s="3">
        <f t="shared" si="21"/>
        <v>688.0406999999999</v>
      </c>
      <c r="AI231" s="3">
        <v>22.84</v>
      </c>
      <c r="AJ231" s="2" cm="1">
        <f t="array" ref="AJ231">SUM($F$2:$F$43*($C$2:$C$43=$Q$6))</f>
        <v>0</v>
      </c>
      <c r="AK231" s="3">
        <f t="shared" si="22"/>
        <v>0</v>
      </c>
      <c r="AL231" s="3">
        <v>15.79</v>
      </c>
      <c r="AM231" s="2" cm="1">
        <f t="array" ref="AM231">SUM($F$2:$F$43*($C$2:$C$43=$Q$8))</f>
        <v>0</v>
      </c>
      <c r="AN231" s="3">
        <f t="shared" si="23"/>
        <v>0</v>
      </c>
      <c r="AO231" s="3">
        <f>SUM(J2:J43)</f>
        <v>1503.2900000000004</v>
      </c>
      <c r="AP2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4214.6046110000007</v>
      </c>
      <c r="AQ231" s="3" cm="1">
        <f t="array" aca="1" ref="AQ231" ca="1">OFFSET(Table7[[#This Row],[Investment Increase]],0,-1)-SUM($J$2:$J$43*($E$2:$E$43=$Q$31))</f>
        <v>775.60461100000066</v>
      </c>
    </row>
    <row r="232" spans="22:43" x14ac:dyDescent="0.45">
      <c r="V232" s="9">
        <v>44412</v>
      </c>
      <c r="W232" s="3">
        <v>186.1</v>
      </c>
      <c r="X232" s="2" cm="1">
        <f t="array" ref="X232">SUM($F$2:$F$43*($C$2:$C$43=$Q$2))</f>
        <v>3.9319999999999999</v>
      </c>
      <c r="Y232" s="3">
        <f t="shared" si="18"/>
        <v>731.74519999999995</v>
      </c>
      <c r="Z232" s="3">
        <v>189.27</v>
      </c>
      <c r="AA232" s="2" cm="1">
        <f t="array" ref="AA232">SUM($F$2:$F$43*($C$2:$C$43=$Q$3))</f>
        <v>5.3841000000000001</v>
      </c>
      <c r="AB232" s="3">
        <f t="shared" si="19"/>
        <v>1019.0486070000001</v>
      </c>
      <c r="AC232" s="3">
        <v>20.83</v>
      </c>
      <c r="AD232" s="2" cm="1">
        <f t="array" ref="AD232">SUM($F$2:$F$43*($C$2:$C$43=$Q$4))</f>
        <v>12.159000000000001</v>
      </c>
      <c r="AE232" s="3">
        <f t="shared" si="20"/>
        <v>253.27196999999998</v>
      </c>
      <c r="AF232" s="3">
        <v>15.8</v>
      </c>
      <c r="AG232" s="2" cm="1">
        <f t="array" ref="AG232">SUM($F$2:$F$43*($C$2:$C$43=$Q$5))</f>
        <v>43.272999999999996</v>
      </c>
      <c r="AH232" s="3">
        <f t="shared" si="21"/>
        <v>683.71339999999998</v>
      </c>
      <c r="AI232" s="3">
        <v>22.69</v>
      </c>
      <c r="AJ232" s="2" cm="1">
        <f t="array" ref="AJ232">SUM($F$2:$F$43*($C$2:$C$43=$Q$6))</f>
        <v>0</v>
      </c>
      <c r="AK232" s="3">
        <f t="shared" si="22"/>
        <v>0</v>
      </c>
      <c r="AL232" s="3">
        <v>15.85</v>
      </c>
      <c r="AM232" s="2" cm="1">
        <f t="array" ref="AM232">SUM($F$2:$F$43*($C$2:$C$43=$Q$8))</f>
        <v>0</v>
      </c>
      <c r="AN232" s="3">
        <f t="shared" si="23"/>
        <v>0</v>
      </c>
      <c r="AO232" s="3">
        <f>SUM(J2:J43)</f>
        <v>1503.2900000000004</v>
      </c>
      <c r="AP2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4191.0691770000003</v>
      </c>
      <c r="AQ232" s="3" cm="1">
        <f t="array" aca="1" ref="AQ232" ca="1">OFFSET(Table7[[#This Row],[Investment Increase]],0,-1)-SUM($J$2:$J$43*($E$2:$E$43=$Q$31))</f>
        <v>752.06917700000031</v>
      </c>
    </row>
    <row r="233" spans="22:43" x14ac:dyDescent="0.45">
      <c r="V233" s="9">
        <v>44411</v>
      </c>
      <c r="W233" s="3">
        <v>185.87</v>
      </c>
      <c r="X233" s="2" cm="1">
        <f t="array" ref="X233">SUM($F$2:$F$43*($C$2:$C$43=$Q$2))</f>
        <v>3.9319999999999999</v>
      </c>
      <c r="Y233" s="3">
        <f t="shared" si="18"/>
        <v>730.84083999999996</v>
      </c>
      <c r="Z233" s="3">
        <v>189.14</v>
      </c>
      <c r="AA233" s="2" cm="1">
        <f t="array" ref="AA233">SUM($F$2:$F$43*($C$2:$C$43=$Q$3))</f>
        <v>5.3841000000000001</v>
      </c>
      <c r="AB233" s="3">
        <f t="shared" si="19"/>
        <v>1018.348674</v>
      </c>
      <c r="AC233" s="3">
        <v>20.78</v>
      </c>
      <c r="AD233" s="2" cm="1">
        <f t="array" ref="AD233">SUM($F$2:$F$43*($C$2:$C$43=$Q$4))</f>
        <v>12.159000000000001</v>
      </c>
      <c r="AE233" s="3">
        <f t="shared" si="20"/>
        <v>252.66402000000002</v>
      </c>
      <c r="AF233" s="3">
        <v>15.86</v>
      </c>
      <c r="AG233" s="2" cm="1">
        <f t="array" ref="AG233">SUM($F$2:$F$43*($C$2:$C$43=$Q$5))</f>
        <v>43.272999999999996</v>
      </c>
      <c r="AH233" s="3">
        <f t="shared" si="21"/>
        <v>686.30977999999993</v>
      </c>
      <c r="AI233" s="3">
        <v>22.83</v>
      </c>
      <c r="AJ233" s="2" cm="1">
        <f t="array" ref="AJ233">SUM($F$2:$F$43*($C$2:$C$43=$Q$6))</f>
        <v>0</v>
      </c>
      <c r="AK233" s="3">
        <f t="shared" si="22"/>
        <v>0</v>
      </c>
      <c r="AL233" s="3">
        <v>16.079999999999998</v>
      </c>
      <c r="AM233" s="2" cm="1">
        <f t="array" ref="AM233">SUM($F$2:$F$43*($C$2:$C$43=$Q$8))</f>
        <v>0</v>
      </c>
      <c r="AN233" s="3">
        <f t="shared" si="23"/>
        <v>0</v>
      </c>
      <c r="AO233" s="3">
        <f>SUM(J2:J43)</f>
        <v>1503.2900000000004</v>
      </c>
      <c r="AP2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4191.4533140000003</v>
      </c>
      <c r="AQ233" s="3" cm="1">
        <f t="array" aca="1" ref="AQ233" ca="1">OFFSET(Table7[[#This Row],[Investment Increase]],0,-1)-SUM($J$2:$J$43*($E$2:$E$43=$Q$31))</f>
        <v>752.45331400000032</v>
      </c>
    </row>
    <row r="234" spans="22:43" x14ac:dyDescent="0.45">
      <c r="V234" s="9">
        <v>44410</v>
      </c>
      <c r="W234" s="3">
        <v>184.86</v>
      </c>
      <c r="X234" s="2" cm="1">
        <f t="array" ref="X234">SUM($F$2:$F$43*($C$2:$C$43=$Q$2))</f>
        <v>3.9319999999999999</v>
      </c>
      <c r="Y234" s="3">
        <f t="shared" si="18"/>
        <v>726.86952000000008</v>
      </c>
      <c r="Z234" s="3">
        <v>188.08</v>
      </c>
      <c r="AA234" s="2" cm="1">
        <f t="array" ref="AA234">SUM($F$2:$F$43*($C$2:$C$43=$Q$3))</f>
        <v>5.3841000000000001</v>
      </c>
      <c r="AB234" s="3">
        <f t="shared" si="19"/>
        <v>1012.6415280000001</v>
      </c>
      <c r="AC234" s="3">
        <v>20.68</v>
      </c>
      <c r="AD234" s="2" cm="1">
        <f t="array" ref="AD234">SUM($F$2:$F$43*($C$2:$C$43=$Q$4))</f>
        <v>12.159000000000001</v>
      </c>
      <c r="AE234" s="3">
        <f t="shared" si="20"/>
        <v>251.44812000000002</v>
      </c>
      <c r="AF234" s="3">
        <v>15.74</v>
      </c>
      <c r="AG234" s="2" cm="1">
        <f t="array" ref="AG234">SUM($F$2:$F$43*($C$2:$C$43=$Q$5))</f>
        <v>43.272999999999996</v>
      </c>
      <c r="AH234" s="3">
        <f t="shared" si="21"/>
        <v>681.11701999999991</v>
      </c>
      <c r="AI234" s="3">
        <v>22.65</v>
      </c>
      <c r="AJ234" s="2" cm="1">
        <f t="array" ref="AJ234">SUM($F$2:$F$43*($C$2:$C$43=$Q$6))</f>
        <v>0</v>
      </c>
      <c r="AK234" s="3">
        <f t="shared" si="22"/>
        <v>0</v>
      </c>
      <c r="AL234" s="3">
        <v>15.9</v>
      </c>
      <c r="AM234" s="2" cm="1">
        <f t="array" ref="AM234">SUM($F$2:$F$43*($C$2:$C$43=$Q$8))</f>
        <v>0</v>
      </c>
      <c r="AN234" s="3">
        <f t="shared" si="23"/>
        <v>0</v>
      </c>
      <c r="AO234" s="3">
        <f>SUM(J2:J43)</f>
        <v>1503.2900000000004</v>
      </c>
      <c r="AP2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4175.366188</v>
      </c>
      <c r="AQ234" s="3" cm="1">
        <f t="array" aca="1" ref="AQ234" ca="1">OFFSET(Table7[[#This Row],[Investment Increase]],0,-1)-SUM($J$2:$J$43*($E$2:$E$43=$Q$31))</f>
        <v>736.36618799999997</v>
      </c>
    </row>
    <row r="235" spans="22:43" x14ac:dyDescent="0.45">
      <c r="V235" s="9">
        <v>44407</v>
      </c>
      <c r="W235" s="3">
        <v>184.76</v>
      </c>
      <c r="X235" s="2" cm="1">
        <f t="array" ref="X235">SUM($F$2:$F$43*($C$2:$C$43=$Q$2))</f>
        <v>3.9319999999999999</v>
      </c>
      <c r="Y235" s="3">
        <f t="shared" si="18"/>
        <v>726.47631999999999</v>
      </c>
      <c r="Z235" s="3">
        <v>187.78</v>
      </c>
      <c r="AA235" s="2" cm="1">
        <f t="array" ref="AA235">SUM($F$2:$F$43*($C$2:$C$43=$Q$3))</f>
        <v>5.3841000000000001</v>
      </c>
      <c r="AB235" s="3">
        <f t="shared" si="19"/>
        <v>1011.026298</v>
      </c>
      <c r="AC235" s="3">
        <v>20.67</v>
      </c>
      <c r="AD235" s="2" cm="1">
        <f t="array" ref="AD235">SUM($F$2:$F$43*($C$2:$C$43=$Q$4))</f>
        <v>12.159000000000001</v>
      </c>
      <c r="AE235" s="3">
        <f t="shared" si="20"/>
        <v>251.32653000000005</v>
      </c>
      <c r="AF235" s="3">
        <v>15.76</v>
      </c>
      <c r="AG235" s="2" cm="1">
        <f t="array" ref="AG235">SUM($F$2:$F$43*($C$2:$C$43=$Q$5))</f>
        <v>43.272999999999996</v>
      </c>
      <c r="AH235" s="3">
        <f t="shared" si="21"/>
        <v>681.9824799999999</v>
      </c>
      <c r="AI235" s="3">
        <v>22.71</v>
      </c>
      <c r="AJ235" s="2" cm="1">
        <f t="array" ref="AJ235">SUM($F$2:$F$43*($C$2:$C$43=$Q$6))</f>
        <v>0</v>
      </c>
      <c r="AK235" s="3">
        <f t="shared" si="22"/>
        <v>0</v>
      </c>
      <c r="AL235" s="3">
        <v>15.97</v>
      </c>
      <c r="AM235" s="2" cm="1">
        <f t="array" ref="AM235">SUM($F$2:$F$43*($C$2:$C$43=$Q$8))</f>
        <v>0</v>
      </c>
      <c r="AN235" s="3">
        <f t="shared" si="23"/>
        <v>0</v>
      </c>
      <c r="AO235" s="3">
        <f>SUM(J2:J43)</f>
        <v>1503.2900000000004</v>
      </c>
      <c r="AP2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4174.1016280000003</v>
      </c>
      <c r="AQ235" s="3" cm="1">
        <f t="array" aca="1" ref="AQ235" ca="1">OFFSET(Table7[[#This Row],[Investment Increase]],0,-1)-SUM($J$2:$J$43*($E$2:$E$43=$Q$31))</f>
        <v>735.10162800000035</v>
      </c>
    </row>
    <row r="236" spans="22:43" x14ac:dyDescent="0.45">
      <c r="V236" s="9">
        <v>44406</v>
      </c>
      <c r="W236" s="3">
        <v>186.1</v>
      </c>
      <c r="X236" s="2" cm="1">
        <f t="array" ref="X236">SUM($F$2:$F$42*($C$2:$C$42=$Q$2))</f>
        <v>3.9319999999999999</v>
      </c>
      <c r="Y236" s="3">
        <f t="shared" si="18"/>
        <v>731.74519999999995</v>
      </c>
      <c r="Z236" s="3">
        <v>189.67</v>
      </c>
      <c r="AA236" s="2" cm="1">
        <f t="array" ref="AA236">SUM($F$2:$F$42*($C$2:$C$42=$Q$3))</f>
        <v>5.3841000000000001</v>
      </c>
      <c r="AB236" s="3">
        <f t="shared" si="19"/>
        <v>1021.2022469999999</v>
      </c>
      <c r="AC236" s="3">
        <v>20.87</v>
      </c>
      <c r="AD236" s="2" cm="1">
        <f t="array" ref="AD236">SUM($F$2:$F$42*($C$2:$C$42=$Q$4))</f>
        <v>12.159000000000001</v>
      </c>
      <c r="AE236" s="3">
        <f t="shared" si="20"/>
        <v>253.75833000000003</v>
      </c>
      <c r="AF236" s="3">
        <v>15.85</v>
      </c>
      <c r="AG236" s="2" cm="1">
        <f t="array" ref="AG236">SUM($F$2:$F$42*($C$2:$C$42=$Q$5))</f>
        <v>43.272999999999996</v>
      </c>
      <c r="AH236" s="3">
        <f t="shared" si="21"/>
        <v>685.87704999999994</v>
      </c>
      <c r="AI236" s="3">
        <v>22.87</v>
      </c>
      <c r="AJ236" s="2" cm="1">
        <f t="array" ref="AJ236">SUM($F$2:$F$42*($C$2:$C$42=$Q$6))</f>
        <v>0</v>
      </c>
      <c r="AK236" s="3">
        <f t="shared" si="22"/>
        <v>0</v>
      </c>
      <c r="AL236" s="3">
        <v>16.22</v>
      </c>
      <c r="AM236" s="2" cm="1">
        <f t="array" ref="AM236">SUM($F$2:$F$42*($C$2:$C$42=$Q$8))</f>
        <v>0</v>
      </c>
      <c r="AN236" s="3">
        <f t="shared" si="23"/>
        <v>0</v>
      </c>
      <c r="AO236" s="3">
        <f>SUM(J2:J42)</f>
        <v>1503.2700000000004</v>
      </c>
      <c r="AP2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4195.8528270000006</v>
      </c>
      <c r="AQ236" s="3" cm="1">
        <f t="array" aca="1" ref="AQ236" ca="1">OFFSET(Table7[[#This Row],[Investment Increase]],0,-1)-SUM($J$2:$J$42*($E$2:$E$42=$Q$31))</f>
        <v>756.85282700000062</v>
      </c>
    </row>
    <row r="237" spans="22:43" x14ac:dyDescent="0.45">
      <c r="V237" s="9">
        <v>44405</v>
      </c>
      <c r="W237" s="3">
        <v>185.89</v>
      </c>
      <c r="X237" s="2" cm="1">
        <f t="array" ref="X237">SUM($F$2:$F$42*($C$2:$C$42=$Q$2))</f>
        <v>3.9319999999999999</v>
      </c>
      <c r="Y237" s="3">
        <f t="shared" si="18"/>
        <v>730.91947999999991</v>
      </c>
      <c r="Z237" s="3">
        <v>189.42</v>
      </c>
      <c r="AA237" s="2" cm="1">
        <f t="array" ref="AA237">SUM($F$2:$F$42*($C$2:$C$42=$Q$3))</f>
        <v>5.3841000000000001</v>
      </c>
      <c r="AB237" s="3">
        <f t="shared" si="19"/>
        <v>1019.856222</v>
      </c>
      <c r="AC237" s="3">
        <v>20.83</v>
      </c>
      <c r="AD237" s="2" cm="1">
        <f t="array" ref="AD237">SUM($F$2:$F$42*($C$2:$C$42=$Q$4))</f>
        <v>12.159000000000001</v>
      </c>
      <c r="AE237" s="3">
        <f t="shared" si="20"/>
        <v>253.27196999999998</v>
      </c>
      <c r="AF237" s="3">
        <v>15.79</v>
      </c>
      <c r="AG237" s="2" cm="1">
        <f t="array" ref="AG237">SUM($F$2:$F$42*($C$2:$C$42=$Q$5))</f>
        <v>43.272999999999996</v>
      </c>
      <c r="AH237" s="3">
        <f t="shared" si="21"/>
        <v>683.28066999999987</v>
      </c>
      <c r="AI237" s="3">
        <v>22.76</v>
      </c>
      <c r="AJ237" s="2" cm="1">
        <f t="array" ref="AJ237">SUM($F$2:$F$42*($C$2:$C$42=$Q$6))</f>
        <v>0</v>
      </c>
      <c r="AK237" s="3">
        <f t="shared" si="22"/>
        <v>0</v>
      </c>
      <c r="AL237" s="3">
        <v>15.96</v>
      </c>
      <c r="AM237" s="2" cm="1">
        <f t="array" ref="AM237">SUM($F$2:$F$42*($C$2:$C$42=$Q$8))</f>
        <v>0</v>
      </c>
      <c r="AN237" s="3">
        <f t="shared" si="23"/>
        <v>0</v>
      </c>
      <c r="AO237" s="3">
        <f>SUM(J2:J42)</f>
        <v>1503.2700000000004</v>
      </c>
      <c r="AP2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4190.5983420000002</v>
      </c>
      <c r="AQ237" s="3" cm="1">
        <f t="array" aca="1" ref="AQ237" ca="1">OFFSET(Table7[[#This Row],[Investment Increase]],0,-1)-SUM($J$2:$J$42*($E$2:$E$42=$Q$31))</f>
        <v>751.59834200000023</v>
      </c>
    </row>
    <row r="238" spans="22:43" x14ac:dyDescent="0.45">
      <c r="V238" s="9">
        <v>44404</v>
      </c>
      <c r="W238" s="3">
        <v>184.61</v>
      </c>
      <c r="X238" s="2" cm="1">
        <f t="array" ref="X238">SUM($F$2:$F$42*($C$2:$C$42=$Q$2))</f>
        <v>3.9319999999999999</v>
      </c>
      <c r="Y238" s="3">
        <f t="shared" si="18"/>
        <v>725.88652000000002</v>
      </c>
      <c r="Z238" s="3">
        <v>187.69</v>
      </c>
      <c r="AA238" s="2" cm="1">
        <f t="array" ref="AA238">SUM($F$2:$F$42*($C$2:$C$42=$Q$3))</f>
        <v>5.3841000000000001</v>
      </c>
      <c r="AB238" s="3">
        <f t="shared" si="19"/>
        <v>1010.541729</v>
      </c>
      <c r="AC238" s="3">
        <v>20.66</v>
      </c>
      <c r="AD238" s="2" cm="1">
        <f t="array" ref="AD238">SUM($F$2:$F$42*($C$2:$C$42=$Q$4))</f>
        <v>12.159000000000001</v>
      </c>
      <c r="AE238" s="3">
        <f t="shared" si="20"/>
        <v>251.20494000000002</v>
      </c>
      <c r="AF238" s="3">
        <v>15.78</v>
      </c>
      <c r="AG238" s="2" cm="1">
        <f t="array" ref="AG238">SUM($F$2:$F$42*($C$2:$C$42=$Q$5))</f>
        <v>43.272999999999996</v>
      </c>
      <c r="AH238" s="3">
        <f t="shared" si="21"/>
        <v>682.84793999999988</v>
      </c>
      <c r="AI238" s="3">
        <v>22.75</v>
      </c>
      <c r="AJ238" s="2" cm="1">
        <f t="array" ref="AJ238">SUM($F$2:$F$42*($C$2:$C$42=$Q$6))</f>
        <v>0</v>
      </c>
      <c r="AK238" s="3">
        <f t="shared" si="22"/>
        <v>0</v>
      </c>
      <c r="AL238" s="3">
        <v>15.75</v>
      </c>
      <c r="AM238" s="2" cm="1">
        <f t="array" ref="AM238">SUM($F$2:$F$42*($C$2:$C$42=$Q$8))</f>
        <v>0</v>
      </c>
      <c r="AN238" s="3">
        <f t="shared" si="23"/>
        <v>0</v>
      </c>
      <c r="AO238" s="3">
        <f>SUM(J2:J42)</f>
        <v>1503.2700000000004</v>
      </c>
      <c r="AP2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4173.7511290000002</v>
      </c>
      <c r="AQ238" s="3" cm="1">
        <f t="array" aca="1" ref="AQ238" ca="1">OFFSET(Table7[[#This Row],[Investment Increase]],0,-1)-SUM($J$2:$J$42*($E$2:$E$42=$Q$31))</f>
        <v>734.75112900000022</v>
      </c>
    </row>
    <row r="239" spans="22:43" x14ac:dyDescent="0.45">
      <c r="V239" s="9">
        <v>44404</v>
      </c>
      <c r="W239" s="3">
        <v>184.61</v>
      </c>
      <c r="X239" s="2" cm="1">
        <f t="array" ref="X239">SUM($F$2:$F$42*($C$2:$C$42=$Q$2))</f>
        <v>3.9319999999999999</v>
      </c>
      <c r="Y239" s="3">
        <f t="shared" si="18"/>
        <v>725.88652000000002</v>
      </c>
      <c r="Z239" s="3">
        <v>187.69</v>
      </c>
      <c r="AA239" s="2" cm="1">
        <f t="array" ref="AA239">SUM($F$2:$F$42*($C$2:$C$42=$Q$3))</f>
        <v>5.3841000000000001</v>
      </c>
      <c r="AB239" s="3">
        <f t="shared" si="19"/>
        <v>1010.541729</v>
      </c>
      <c r="AC239" s="3">
        <v>20.66</v>
      </c>
      <c r="AD239" s="2" cm="1">
        <f t="array" ref="AD239">SUM($F$2:$F$42*($C$2:$C$42=$Q$4))</f>
        <v>12.159000000000001</v>
      </c>
      <c r="AE239" s="3">
        <f t="shared" si="20"/>
        <v>251.20494000000002</v>
      </c>
      <c r="AF239" s="3">
        <v>15.78</v>
      </c>
      <c r="AG239" s="2" cm="1">
        <f t="array" ref="AG239">SUM($F$2:$F$42*($C$2:$C$42=$Q$5))</f>
        <v>43.272999999999996</v>
      </c>
      <c r="AH239" s="3">
        <f t="shared" si="21"/>
        <v>682.84793999999988</v>
      </c>
      <c r="AI239" s="3">
        <v>22.87</v>
      </c>
      <c r="AJ239" s="2" cm="1">
        <f t="array" ref="AJ239">SUM($F$2:$F$42*($C$2:$C$42=$Q$6))</f>
        <v>0</v>
      </c>
      <c r="AK239" s="3">
        <f t="shared" si="22"/>
        <v>0</v>
      </c>
      <c r="AL239" s="3">
        <v>15.85</v>
      </c>
      <c r="AM239" s="2" cm="1">
        <f t="array" ref="AM239">SUM($F$2:$F$42*($C$2:$C$42=$Q$8))</f>
        <v>0</v>
      </c>
      <c r="AN239" s="3">
        <f t="shared" si="23"/>
        <v>0</v>
      </c>
      <c r="AO239" s="3">
        <f>SUM(J2:J42)</f>
        <v>1503.2700000000004</v>
      </c>
      <c r="AP2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4173.7511290000002</v>
      </c>
      <c r="AQ239" s="3" cm="1">
        <f t="array" aca="1" ref="AQ239" ca="1">OFFSET(Table7[[#This Row],[Investment Increase]],0,-1)-SUM($J$2:$J$42*($E$2:$E$42=$Q$31))</f>
        <v>734.75112900000022</v>
      </c>
    </row>
    <row r="240" spans="22:43" x14ac:dyDescent="0.45">
      <c r="V240" s="9">
        <v>44404</v>
      </c>
      <c r="W240" s="3">
        <v>184.61</v>
      </c>
      <c r="X240" s="2" cm="1">
        <f t="array" ref="X240">SUM($F$2:$F$42*($C$2:$C$42=$Q$2))</f>
        <v>3.9319999999999999</v>
      </c>
      <c r="Y240" s="3">
        <f t="shared" si="18"/>
        <v>725.88652000000002</v>
      </c>
      <c r="Z240" s="3">
        <v>187.69</v>
      </c>
      <c r="AA240" s="2" cm="1">
        <f t="array" ref="AA240">SUM($F$2:$F$42*($C$2:$C$42=$Q$3))</f>
        <v>5.3841000000000001</v>
      </c>
      <c r="AB240" s="3">
        <f t="shared" si="19"/>
        <v>1010.541729</v>
      </c>
      <c r="AC240" s="3">
        <v>20.66</v>
      </c>
      <c r="AD240" s="2" cm="1">
        <f t="array" ref="AD240">SUM($F$2:$F$42*($C$2:$C$42=$Q$4))</f>
        <v>12.159000000000001</v>
      </c>
      <c r="AE240" s="3">
        <f t="shared" si="20"/>
        <v>251.20494000000002</v>
      </c>
      <c r="AF240" s="3">
        <v>15.78</v>
      </c>
      <c r="AG240" s="2" cm="1">
        <f t="array" ref="AG240">SUM($F$2:$F$42*($C$2:$C$42=$Q$5))</f>
        <v>43.272999999999996</v>
      </c>
      <c r="AH240" s="3">
        <f t="shared" si="21"/>
        <v>682.84793999999988</v>
      </c>
      <c r="AI240" s="3">
        <v>22.81</v>
      </c>
      <c r="AJ240" s="2" cm="1">
        <f t="array" ref="AJ240">SUM($F$2:$F$42*($C$2:$C$42=$Q$6))</f>
        <v>0</v>
      </c>
      <c r="AK240" s="3">
        <f t="shared" si="22"/>
        <v>0</v>
      </c>
      <c r="AL240" s="3">
        <v>15.53</v>
      </c>
      <c r="AM240" s="2" cm="1">
        <f t="array" ref="AM240">SUM($F$2:$F$42*($C$2:$C$42=$Q$8))</f>
        <v>0</v>
      </c>
      <c r="AN240" s="3">
        <f t="shared" si="23"/>
        <v>0</v>
      </c>
      <c r="AO240" s="3">
        <f>SUM(J2:J42)</f>
        <v>1503.2700000000004</v>
      </c>
      <c r="AP2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4173.7511290000002</v>
      </c>
      <c r="AQ240" s="3" cm="1">
        <f t="array" aca="1" ref="AQ240" ca="1">OFFSET(Table7[[#This Row],[Investment Increase]],0,-1)-SUM($J$2:$J$42*($E$2:$E$42=$Q$31))</f>
        <v>734.75112900000022</v>
      </c>
    </row>
    <row r="241" spans="22:43" x14ac:dyDescent="0.45">
      <c r="V241" s="9">
        <v>44399</v>
      </c>
      <c r="W241" s="3">
        <v>184.89</v>
      </c>
      <c r="X241" s="2" cm="1">
        <f t="array" ref="X241">SUM($F$2:$F$42*($C$2:$C$42=$Q$2))</f>
        <v>3.9319999999999999</v>
      </c>
      <c r="Y241" s="3">
        <f t="shared" si="18"/>
        <v>726.98747999999989</v>
      </c>
      <c r="Z241" s="3">
        <v>188.2</v>
      </c>
      <c r="AA241" s="2" cm="1">
        <f t="array" ref="AA241">SUM($F$2:$F$42*($C$2:$C$42=$Q$3))</f>
        <v>5.3841000000000001</v>
      </c>
      <c r="AB241" s="3">
        <f t="shared" si="19"/>
        <v>1013.2876199999999</v>
      </c>
      <c r="AC241" s="3">
        <v>20.65</v>
      </c>
      <c r="AD241" s="2" cm="1">
        <f t="array" ref="AD241">SUM($F$2:$F$42*($C$2:$C$42=$Q$4))</f>
        <v>12.159000000000001</v>
      </c>
      <c r="AE241" s="3">
        <f t="shared" si="20"/>
        <v>251.08335</v>
      </c>
      <c r="AF241" s="3">
        <v>15.67</v>
      </c>
      <c r="AG241" s="2" cm="1">
        <f t="array" ref="AG241">SUM($F$2:$F$42*($C$2:$C$42=$Q$5))</f>
        <v>43.272999999999996</v>
      </c>
      <c r="AH241" s="3">
        <f t="shared" si="21"/>
        <v>678.08790999999997</v>
      </c>
      <c r="AI241" s="3">
        <v>22.59</v>
      </c>
      <c r="AJ241" s="2" cm="1">
        <f t="array" ref="AJ241">SUM($F$2:$F$42*($C$2:$C$42=$Q$6))</f>
        <v>0</v>
      </c>
      <c r="AK241" s="3">
        <f t="shared" si="22"/>
        <v>0</v>
      </c>
      <c r="AL241" s="3">
        <v>15.5</v>
      </c>
      <c r="AM241" s="2" cm="1">
        <f t="array" ref="AM241">SUM($F$2:$F$42*($C$2:$C$42=$Q$8))</f>
        <v>0</v>
      </c>
      <c r="AN241" s="3">
        <f t="shared" si="23"/>
        <v>0</v>
      </c>
      <c r="AO241" s="3">
        <f>SUM(J2:J42)</f>
        <v>1503.2700000000004</v>
      </c>
      <c r="AP2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4172.7163600000003</v>
      </c>
      <c r="AQ241" s="3" cm="1">
        <f t="array" aca="1" ref="AQ241" ca="1">OFFSET(Table7[[#This Row],[Investment Increase]],0,-1)-SUM($J$2:$J$42*($E$2:$E$42=$Q$31))</f>
        <v>733.71636000000035</v>
      </c>
    </row>
    <row r="242" spans="22:43" x14ac:dyDescent="0.45">
      <c r="V242" s="9">
        <v>44399</v>
      </c>
      <c r="W242" s="3">
        <v>184.89</v>
      </c>
      <c r="X242" s="2" cm="1">
        <f t="array" ref="X242">SUM($F$2:$F$42*($C$2:$C$42=$Q$2))</f>
        <v>3.9319999999999999</v>
      </c>
      <c r="Y242" s="3">
        <f t="shared" si="18"/>
        <v>726.98747999999989</v>
      </c>
      <c r="Z242" s="3">
        <v>188.2</v>
      </c>
      <c r="AA242" s="2" cm="1">
        <f t="array" ref="AA242">SUM($F$2:$F$42*($C$2:$C$42=$Q$3))</f>
        <v>5.3841000000000001</v>
      </c>
      <c r="AB242" s="3">
        <f t="shared" si="19"/>
        <v>1013.2876199999999</v>
      </c>
      <c r="AC242" s="3">
        <v>20.65</v>
      </c>
      <c r="AD242" s="2" cm="1">
        <f t="array" ref="AD242">SUM($F$2:$F$42*($C$2:$C$42=$Q$4))</f>
        <v>12.159000000000001</v>
      </c>
      <c r="AE242" s="3">
        <f t="shared" si="20"/>
        <v>251.08335</v>
      </c>
      <c r="AF242" s="3">
        <v>15.67</v>
      </c>
      <c r="AG242" s="2" cm="1">
        <f t="array" ref="AG242">SUM($F$2:$F$42*($C$2:$C$42=$Q$5))</f>
        <v>43.272999999999996</v>
      </c>
      <c r="AH242" s="3">
        <f t="shared" si="21"/>
        <v>678.08790999999997</v>
      </c>
      <c r="AI242" s="3">
        <v>22.56</v>
      </c>
      <c r="AJ242" s="2" cm="1">
        <f t="array" ref="AJ242">SUM($F$2:$F$42*($C$2:$C$42=$Q$6))</f>
        <v>0</v>
      </c>
      <c r="AK242" s="3">
        <f t="shared" si="22"/>
        <v>0</v>
      </c>
      <c r="AL242" s="3">
        <v>15.54</v>
      </c>
      <c r="AM242" s="2" cm="1">
        <f t="array" ref="AM242">SUM($F$2:$F$42*($C$2:$C$42=$Q$8))</f>
        <v>0</v>
      </c>
      <c r="AN242" s="3">
        <f t="shared" si="23"/>
        <v>0</v>
      </c>
      <c r="AO242" s="3">
        <f>SUM(J2:J42)</f>
        <v>1503.2700000000004</v>
      </c>
      <c r="AP2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4172.7163600000003</v>
      </c>
      <c r="AQ242" s="3" cm="1">
        <f t="array" aca="1" ref="AQ242" ca="1">OFFSET(Table7[[#This Row],[Investment Increase]],0,-1)-SUM($J$2:$J$42*($E$2:$E$42=$Q$31))</f>
        <v>733.71636000000035</v>
      </c>
    </row>
    <row r="243" spans="22:43" x14ac:dyDescent="0.45">
      <c r="V243" s="9">
        <v>44399</v>
      </c>
      <c r="W243" s="3">
        <v>184.89</v>
      </c>
      <c r="X243" s="2" cm="1">
        <f t="array" ref="X243">SUM($F$2:$F$42*($C$2:$C$42=$Q$2))</f>
        <v>3.9319999999999999</v>
      </c>
      <c r="Y243" s="3">
        <f t="shared" si="18"/>
        <v>726.98747999999989</v>
      </c>
      <c r="Z243" s="3">
        <v>188.2</v>
      </c>
      <c r="AA243" s="2" cm="1">
        <f t="array" ref="AA243">SUM($F$2:$F$42*($C$2:$C$42=$Q$3))</f>
        <v>5.3841000000000001</v>
      </c>
      <c r="AB243" s="3">
        <f t="shared" si="19"/>
        <v>1013.2876199999999</v>
      </c>
      <c r="AC243" s="3">
        <v>20.65</v>
      </c>
      <c r="AD243" s="2" cm="1">
        <f t="array" ref="AD243">SUM($F$2:$F$42*($C$2:$C$42=$Q$4))</f>
        <v>12.159000000000001</v>
      </c>
      <c r="AE243" s="3">
        <f t="shared" si="20"/>
        <v>251.08335</v>
      </c>
      <c r="AF243" s="3">
        <v>15.67</v>
      </c>
      <c r="AG243" s="2" cm="1">
        <f t="array" ref="AG243">SUM($F$2:$F$42*($C$2:$C$42=$Q$5))</f>
        <v>43.272999999999996</v>
      </c>
      <c r="AH243" s="3">
        <f t="shared" si="21"/>
        <v>678.08790999999997</v>
      </c>
      <c r="AI243" s="3">
        <v>22.35</v>
      </c>
      <c r="AJ243" s="2" cm="1">
        <f t="array" ref="AJ243">SUM($F$2:$F$42*($C$2:$C$42=$Q$6))</f>
        <v>0</v>
      </c>
      <c r="AK243" s="3">
        <f t="shared" si="22"/>
        <v>0</v>
      </c>
      <c r="AL243" s="3">
        <v>15.17</v>
      </c>
      <c r="AM243" s="2" cm="1">
        <f t="array" ref="AM243">SUM($F$2:$F$42*($C$2:$C$42=$Q$8))</f>
        <v>0</v>
      </c>
      <c r="AN243" s="3">
        <f t="shared" si="23"/>
        <v>0</v>
      </c>
      <c r="AO243" s="3">
        <f>SUM(J2:J42)</f>
        <v>1503.2700000000004</v>
      </c>
      <c r="AP2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4172.7163600000003</v>
      </c>
      <c r="AQ243" s="3" cm="1">
        <f t="array" aca="1" ref="AQ243" ca="1">OFFSET(Table7[[#This Row],[Investment Increase]],0,-1)-SUM($J$2:$J$42*($E$2:$E$42=$Q$31))</f>
        <v>733.71636000000035</v>
      </c>
    </row>
    <row r="244" spans="22:43" x14ac:dyDescent="0.45">
      <c r="V244" s="9">
        <v>44396</v>
      </c>
      <c r="W244" s="3">
        <v>179.73</v>
      </c>
      <c r="X244" s="2" cm="1">
        <f t="array" ref="X244">SUM($F$2:$F$41*($C$2:$C$41=$Q$2))</f>
        <v>3.9319999999999999</v>
      </c>
      <c r="Y244" s="3">
        <f t="shared" si="18"/>
        <v>706.69835999999998</v>
      </c>
      <c r="Z244" s="3">
        <v>181.05</v>
      </c>
      <c r="AA244" s="2" cm="1">
        <f t="array" ref="AA244">SUM($F$2:$F$41*($C$2:$C$41=$Q$3))</f>
        <v>5.3841000000000001</v>
      </c>
      <c r="AB244" s="3">
        <f t="shared" si="19"/>
        <v>974.79130500000008</v>
      </c>
      <c r="AC244" s="3">
        <v>19.96</v>
      </c>
      <c r="AD244" s="2" cm="1">
        <f t="array" ref="AD244">SUM($F$2:$F$41*($C$2:$C$41=$Q$4))</f>
        <v>12.159000000000001</v>
      </c>
      <c r="AE244" s="3">
        <f t="shared" si="20"/>
        <v>242.69364000000002</v>
      </c>
      <c r="AF244" s="3">
        <v>15.26</v>
      </c>
      <c r="AG244" s="2" cm="1">
        <f t="array" ref="AG244">SUM($F$2:$F$41*($C$2:$C$41=$Q$5))</f>
        <v>22.782</v>
      </c>
      <c r="AH244" s="3">
        <f t="shared" si="21"/>
        <v>347.65332000000001</v>
      </c>
      <c r="AI244" s="3">
        <v>22</v>
      </c>
      <c r="AJ244" s="2" cm="1">
        <f t="array" ref="AJ244">SUM($F$2:$F$41*($C$2:$C$41=$Q$6))</f>
        <v>0</v>
      </c>
      <c r="AK244" s="3">
        <f t="shared" si="22"/>
        <v>0</v>
      </c>
      <c r="AL244" s="3">
        <v>14.99</v>
      </c>
      <c r="AM244" s="2" cm="1">
        <f t="array" ref="AM244">SUM($F$2:$F$41*($C$2:$C$41=$Q$8))</f>
        <v>0</v>
      </c>
      <c r="AN244" s="3">
        <f t="shared" si="23"/>
        <v>0</v>
      </c>
      <c r="AO244" s="3">
        <f>SUM(J2:J41)</f>
        <v>1763.2700000000004</v>
      </c>
      <c r="AP2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4035.1066250000003</v>
      </c>
      <c r="AQ244" s="3" cm="1">
        <f t="array" aca="1" ref="AQ244" ca="1">OFFSET(Table7[[#This Row],[Investment Increase]],0,-1)-SUM($J$2:$J$41*($E$2:$E$41=$Q$31))</f>
        <v>596.10662500000035</v>
      </c>
    </row>
    <row r="245" spans="22:43" x14ac:dyDescent="0.45">
      <c r="V245" s="9">
        <v>44393</v>
      </c>
      <c r="W245" s="3">
        <v>181.65</v>
      </c>
      <c r="X245" s="2" cm="1">
        <f t="array" ref="X245">SUM($F$2:$F$41*($C$2:$C$41=$Q$2))</f>
        <v>3.9319999999999999</v>
      </c>
      <c r="Y245" s="3">
        <f t="shared" si="18"/>
        <v>714.24779999999998</v>
      </c>
      <c r="Z245" s="3">
        <v>182.64</v>
      </c>
      <c r="AA245" s="2" cm="1">
        <f t="array" ref="AA245">SUM($F$2:$F$41*($C$2:$C$41=$Q$3))</f>
        <v>5.3841000000000001</v>
      </c>
      <c r="AB245" s="3">
        <f t="shared" si="19"/>
        <v>983.35202399999991</v>
      </c>
      <c r="AC245" s="3">
        <v>20.2</v>
      </c>
      <c r="AD245" s="2" cm="1">
        <f t="array" ref="AD245">SUM($F$2:$F$41*($C$2:$C$41=$Q$4))</f>
        <v>12.159000000000001</v>
      </c>
      <c r="AE245" s="3">
        <f t="shared" si="20"/>
        <v>245.61180000000002</v>
      </c>
      <c r="AF245" s="3">
        <v>15.49</v>
      </c>
      <c r="AG245" s="2" cm="1">
        <f t="array" ref="AG245">SUM($F$2:$F$41*($C$2:$C$41=$Q$5))</f>
        <v>22.782</v>
      </c>
      <c r="AH245" s="3">
        <f t="shared" si="21"/>
        <v>352.89318000000003</v>
      </c>
      <c r="AI245" s="3">
        <v>22.35</v>
      </c>
      <c r="AJ245" s="2" cm="1">
        <f t="array" ref="AJ245">SUM($F$2:$F$41*($C$2:$C$41=$Q$6))</f>
        <v>0</v>
      </c>
      <c r="AK245" s="3">
        <f t="shared" si="22"/>
        <v>0</v>
      </c>
      <c r="AL245" s="3">
        <v>15.44</v>
      </c>
      <c r="AM245" s="2" cm="1">
        <f t="array" ref="AM245">SUM($F$2:$F$41*($C$2:$C$41=$Q$8))</f>
        <v>0</v>
      </c>
      <c r="AN245" s="3">
        <f t="shared" si="23"/>
        <v>0</v>
      </c>
      <c r="AO245" s="3">
        <f>SUM(J2:J41)</f>
        <v>1763.2700000000004</v>
      </c>
      <c r="AP2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4059.3748040000005</v>
      </c>
      <c r="AQ245" s="3" cm="1">
        <f t="array" aca="1" ref="AQ245" ca="1">OFFSET(Table7[[#This Row],[Investment Increase]],0,-1)-SUM($J$2:$J$41*($E$2:$E$41=$Q$31))</f>
        <v>620.37480400000049</v>
      </c>
    </row>
    <row r="246" spans="22:43" x14ac:dyDescent="0.45">
      <c r="V246" s="9">
        <v>44392</v>
      </c>
      <c r="W246" s="3">
        <v>183.1</v>
      </c>
      <c r="X246" s="2" cm="1">
        <f t="array" ref="X246">SUM($F$2:$F$38*($C$2:$C$38=$Q$2))</f>
        <v>3.9319999999999999</v>
      </c>
      <c r="Y246" s="3">
        <f t="shared" si="18"/>
        <v>719.94920000000002</v>
      </c>
      <c r="Z246" s="3">
        <v>184.72</v>
      </c>
      <c r="AA246" s="2" cm="1">
        <f t="array" ref="AA246">SUM($F$2:$F$38*($C$2:$C$38=$Q$3))</f>
        <v>3.4411</v>
      </c>
      <c r="AB246" s="3">
        <f t="shared" si="19"/>
        <v>635.63999200000001</v>
      </c>
      <c r="AC246" s="3">
        <v>20.38</v>
      </c>
      <c r="AD246" s="2" cm="1">
        <f t="array" ref="AD246">SUM($F$2:$F$38*($C$2:$C$38=$Q$4))</f>
        <v>7.5680000000000005</v>
      </c>
      <c r="AE246" s="3">
        <f t="shared" si="20"/>
        <v>154.23584</v>
      </c>
      <c r="AF246" s="3">
        <v>15.59</v>
      </c>
      <c r="AG246" s="2" cm="1">
        <f t="array" ref="AG246">SUM($F$2:$F$38*($C$2:$C$38=$Q$5))</f>
        <v>16.84</v>
      </c>
      <c r="AH246" s="3">
        <f t="shared" si="21"/>
        <v>262.53559999999999</v>
      </c>
      <c r="AI246" s="3">
        <v>22.55</v>
      </c>
      <c r="AJ246" s="2" cm="1">
        <f t="array" ref="AJ246">SUM($F$2:$F$38*($C$2:$C$38=$Q$6))</f>
        <v>0</v>
      </c>
      <c r="AK246" s="3">
        <f t="shared" si="22"/>
        <v>0</v>
      </c>
      <c r="AL246" s="3">
        <v>15.87</v>
      </c>
      <c r="AM246" s="2" cm="1">
        <f t="array" ref="AM246">SUM($F$2:$F$38*($C$2:$C$38=$Q$8))</f>
        <v>0</v>
      </c>
      <c r="AN246" s="3">
        <f t="shared" si="23"/>
        <v>0</v>
      </c>
      <c r="AO246" s="3">
        <f>SUM(J2:J38)</f>
        <v>2283.2700000000004</v>
      </c>
      <c r="AP2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4055.6306320000003</v>
      </c>
      <c r="AQ246" s="3" cm="1">
        <f t="array" aca="1" ref="AQ246" ca="1">OFFSET(Table7[[#This Row],[Investment Increase]],0,-1)-SUM($J$2:$J$38*($E$2:$E$38=$Q$31))</f>
        <v>616.63063200000033</v>
      </c>
    </row>
    <row r="247" spans="22:43" x14ac:dyDescent="0.45">
      <c r="V247" s="9">
        <v>44391</v>
      </c>
      <c r="W247" s="3">
        <v>184.38</v>
      </c>
      <c r="X247" s="2" cm="1">
        <f t="array" ref="X247">SUM($F$2:$F$38*($C$2:$C$38=$Q$2))</f>
        <v>3.9319999999999999</v>
      </c>
      <c r="Y247" s="3">
        <f t="shared" si="18"/>
        <v>724.98216000000002</v>
      </c>
      <c r="Z247" s="3">
        <v>186.77</v>
      </c>
      <c r="AA247" s="2" cm="1">
        <f t="array" ref="AA247">SUM($F$2:$F$38*($C$2:$C$38=$Q$3))</f>
        <v>3.4411</v>
      </c>
      <c r="AB247" s="3">
        <f t="shared" si="19"/>
        <v>642.69424700000002</v>
      </c>
      <c r="AC247" s="3">
        <v>20.55</v>
      </c>
      <c r="AD247" s="2" cm="1">
        <f t="array" ref="AD247">SUM($F$2:$F$38*($C$2:$C$38=$Q$4))</f>
        <v>7.5680000000000005</v>
      </c>
      <c r="AE247" s="3">
        <f t="shared" si="20"/>
        <v>155.5224</v>
      </c>
      <c r="AF247" s="3">
        <v>15.64</v>
      </c>
      <c r="AG247" s="2" cm="1">
        <f t="array" ref="AG247">SUM($F$2:$F$38*($C$2:$C$38=$Q$5))</f>
        <v>16.84</v>
      </c>
      <c r="AH247" s="3">
        <f t="shared" si="21"/>
        <v>263.37760000000003</v>
      </c>
      <c r="AI247" s="3">
        <v>22.65</v>
      </c>
      <c r="AJ247" s="2" cm="1">
        <f t="array" ref="AJ247">SUM($F$2:$F$38*($C$2:$C$38=$Q$6))</f>
        <v>0</v>
      </c>
      <c r="AK247" s="3">
        <f t="shared" si="22"/>
        <v>0</v>
      </c>
      <c r="AL247" s="3">
        <v>15.96</v>
      </c>
      <c r="AM247" s="2" cm="1">
        <f t="array" ref="AM247">SUM($F$2:$F$38*($C$2:$C$38=$Q$8))</f>
        <v>0</v>
      </c>
      <c r="AN247" s="3">
        <f t="shared" si="23"/>
        <v>0</v>
      </c>
      <c r="AO247" s="3">
        <f>SUM(J2:J38)</f>
        <v>2283.2700000000004</v>
      </c>
      <c r="AP2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4069.8464070000005</v>
      </c>
      <c r="AQ247" s="3" cm="1">
        <f t="array" aca="1" ref="AQ247" ca="1">OFFSET(Table7[[#This Row],[Investment Increase]],0,-1)-SUM($J$2:$J$38*($E$2:$E$38=$Q$31))</f>
        <v>630.84640700000045</v>
      </c>
    </row>
    <row r="248" spans="22:43" x14ac:dyDescent="0.45">
      <c r="V248" s="9">
        <v>44390</v>
      </c>
      <c r="W248" s="3">
        <v>184.79</v>
      </c>
      <c r="X248" s="2" cm="1">
        <f t="array" ref="X248">SUM($F$2:$F$38*($C$2:$C$38=$Q$2))</f>
        <v>3.9319999999999999</v>
      </c>
      <c r="Y248" s="3">
        <f t="shared" si="18"/>
        <v>726.59427999999991</v>
      </c>
      <c r="Z248" s="3">
        <v>188.09</v>
      </c>
      <c r="AA248" s="2" cm="1">
        <f t="array" ref="AA248">SUM($F$2:$F$38*($C$2:$C$38=$Q$3))</f>
        <v>3.4411</v>
      </c>
      <c r="AB248" s="3">
        <f t="shared" si="19"/>
        <v>647.23649899999998</v>
      </c>
      <c r="AC248" s="3">
        <v>20.56</v>
      </c>
      <c r="AD248" s="2" cm="1">
        <f t="array" ref="AD248">SUM($F$2:$F$38*($C$2:$C$38=$Q$4))</f>
        <v>7.5680000000000005</v>
      </c>
      <c r="AE248" s="3">
        <f t="shared" si="20"/>
        <v>155.59808000000001</v>
      </c>
      <c r="AF248" s="3">
        <v>15.64</v>
      </c>
      <c r="AG248" s="2" cm="1">
        <f t="array" ref="AG248">SUM($F$2:$F$38*($C$2:$C$38=$Q$5))</f>
        <v>16.84</v>
      </c>
      <c r="AH248" s="3">
        <f t="shared" si="21"/>
        <v>263.37760000000003</v>
      </c>
      <c r="AI248" s="3">
        <v>22.65</v>
      </c>
      <c r="AJ248" s="2" cm="1">
        <f t="array" ref="AJ248">SUM($F$2:$F$38*($C$2:$C$38=$Q$6))</f>
        <v>0</v>
      </c>
      <c r="AK248" s="3">
        <f t="shared" si="22"/>
        <v>0</v>
      </c>
      <c r="AL248" s="3">
        <v>16.059999999999999</v>
      </c>
      <c r="AM248" s="2" cm="1">
        <f t="array" ref="AM248">SUM($F$2:$F$38*($C$2:$C$38=$Q$8))</f>
        <v>0</v>
      </c>
      <c r="AN248" s="3">
        <f t="shared" si="23"/>
        <v>0</v>
      </c>
      <c r="AO248" s="3">
        <f>SUM(J2:J38)</f>
        <v>2283.2700000000004</v>
      </c>
      <c r="AP2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4076.0764590000003</v>
      </c>
      <c r="AQ248" s="3" cm="1">
        <f t="array" aca="1" ref="AQ248" ca="1">OFFSET(Table7[[#This Row],[Investment Increase]],0,-1)-SUM($J$2:$J$38*($E$2:$E$38=$Q$31))</f>
        <v>637.07645900000034</v>
      </c>
    </row>
    <row r="249" spans="22:43" x14ac:dyDescent="0.45">
      <c r="V249" s="9">
        <v>44389</v>
      </c>
      <c r="W249" s="3">
        <v>185.49</v>
      </c>
      <c r="X249" s="2" cm="1">
        <f t="array" ref="X249">SUM($F$2:$F$38*($C$2:$C$38=$Q$2))</f>
        <v>3.9319999999999999</v>
      </c>
      <c r="Y249" s="3">
        <f t="shared" si="18"/>
        <v>729.34667999999999</v>
      </c>
      <c r="Z249" s="3">
        <v>189.12</v>
      </c>
      <c r="AA249" s="2" cm="1">
        <f t="array" ref="AA249">SUM($F$2:$F$38*($C$2:$C$38=$Q$3))</f>
        <v>3.4411</v>
      </c>
      <c r="AB249" s="3">
        <f t="shared" si="19"/>
        <v>650.78083200000003</v>
      </c>
      <c r="AC249" s="3">
        <v>20.57</v>
      </c>
      <c r="AD249" s="2" cm="1">
        <f t="array" ref="AD249">SUM($F$2:$F$38*($C$2:$C$38=$Q$4))</f>
        <v>7.5680000000000005</v>
      </c>
      <c r="AE249" s="3">
        <f t="shared" si="20"/>
        <v>155.67376000000002</v>
      </c>
      <c r="AF249" s="3">
        <v>15.69</v>
      </c>
      <c r="AG249" s="2" cm="1">
        <f t="array" ref="AG249">SUM($F$2:$F$38*($C$2:$C$38=$Q$5))</f>
        <v>16.84</v>
      </c>
      <c r="AH249" s="3">
        <f t="shared" si="21"/>
        <v>264.21960000000001</v>
      </c>
      <c r="AI249" s="3">
        <v>22.74</v>
      </c>
      <c r="AJ249" s="2" cm="1">
        <f t="array" ref="AJ249">SUM($F$2:$F$38*($C$2:$C$38=$Q$6))</f>
        <v>0</v>
      </c>
      <c r="AK249" s="3">
        <f t="shared" si="22"/>
        <v>0</v>
      </c>
      <c r="AL249" s="3">
        <v>16.18</v>
      </c>
      <c r="AM249" s="2" cm="1">
        <f t="array" ref="AM249">SUM($F$2:$F$38*($C$2:$C$38=$Q$8))</f>
        <v>0</v>
      </c>
      <c r="AN249" s="3">
        <f t="shared" si="23"/>
        <v>0</v>
      </c>
      <c r="AO249" s="3">
        <f>SUM(J2:J38)</f>
        <v>2283.2700000000004</v>
      </c>
      <c r="AP2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4083.2908720000005</v>
      </c>
      <c r="AQ249" s="3" cm="1">
        <f t="array" aca="1" ref="AQ249" ca="1">OFFSET(Table7[[#This Row],[Investment Increase]],0,-1)-SUM($J$2:$J$38*($E$2:$E$38=$Q$31))</f>
        <v>644.29087200000049</v>
      </c>
    </row>
    <row r="250" spans="22:43" x14ac:dyDescent="0.45">
      <c r="V250" s="9">
        <v>44386</v>
      </c>
      <c r="W250" s="3">
        <v>185.08</v>
      </c>
      <c r="X250" s="2" cm="1">
        <f t="array" ref="X250">SUM($F$2:$F$38*($C$2:$C$38=$Q$2))</f>
        <v>3.9319999999999999</v>
      </c>
      <c r="Y250" s="3">
        <f t="shared" si="18"/>
        <v>727.73455999999999</v>
      </c>
      <c r="Z250" s="3">
        <v>188.71</v>
      </c>
      <c r="AA250" s="2" cm="1">
        <f t="array" ref="AA250">SUM($F$2:$F$38*($C$2:$C$38=$Q$3))</f>
        <v>3.4411</v>
      </c>
      <c r="AB250" s="3">
        <f t="shared" si="19"/>
        <v>649.36998100000005</v>
      </c>
      <c r="AC250" s="3">
        <v>20.54</v>
      </c>
      <c r="AD250" s="2" cm="1">
        <f t="array" ref="AD250">SUM($F$2:$F$38*($C$2:$C$38=$Q$4))</f>
        <v>7.5680000000000005</v>
      </c>
      <c r="AE250" s="3">
        <f t="shared" si="20"/>
        <v>155.44672</v>
      </c>
      <c r="AF250" s="3">
        <v>15.65</v>
      </c>
      <c r="AG250" s="2" cm="1">
        <f t="array" ref="AG250">SUM($F$2:$F$38*($C$2:$C$38=$Q$5))</f>
        <v>16.84</v>
      </c>
      <c r="AH250" s="3">
        <f t="shared" si="21"/>
        <v>263.54599999999999</v>
      </c>
      <c r="AI250" s="3">
        <v>22.67</v>
      </c>
      <c r="AJ250" s="2" cm="1">
        <f t="array" ref="AJ250">SUM($F$2:$F$38*($C$2:$C$38=$Q$6))</f>
        <v>0</v>
      </c>
      <c r="AK250" s="3">
        <f t="shared" si="22"/>
        <v>0</v>
      </c>
      <c r="AL250" s="3">
        <v>16.16</v>
      </c>
      <c r="AM250" s="2" cm="1">
        <f t="array" ref="AM250">SUM($F$2:$F$38*($C$2:$C$38=$Q$8))</f>
        <v>0</v>
      </c>
      <c r="AN250" s="3">
        <f t="shared" si="23"/>
        <v>0</v>
      </c>
      <c r="AO250" s="3">
        <f>SUM(J2:J38)</f>
        <v>2283.2700000000004</v>
      </c>
      <c r="AP2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4079.3672610000003</v>
      </c>
      <c r="AQ250" s="11" cm="1">
        <f t="array" aca="1" ref="AQ250" ca="1">OFFSET(Table7[[#This Row],[Investment Increase]],0,-1)-SUM($J$2:$J$38*($E$2:$E$38=$Q$31))</f>
        <v>640.36726100000033</v>
      </c>
    </row>
    <row r="251" spans="22:43" x14ac:dyDescent="0.45">
      <c r="V251" s="9">
        <v>44385</v>
      </c>
      <c r="W251" s="3">
        <v>183.29</v>
      </c>
      <c r="X251" s="2" cm="1">
        <f t="array" ref="X251">SUM($F$2:$F$38*($C$2:$C$38=$Q$2))</f>
        <v>3.9319999999999999</v>
      </c>
      <c r="Y251" s="3">
        <f t="shared" si="18"/>
        <v>720.69628</v>
      </c>
      <c r="Z251" s="3">
        <v>186.39</v>
      </c>
      <c r="AA251" s="2" cm="1">
        <f t="array" ref="AA251">SUM($F$2:$F$38*($C$2:$C$38=$Q$3))</f>
        <v>3.4411</v>
      </c>
      <c r="AB251" s="3">
        <f t="shared" si="19"/>
        <v>641.38662899999997</v>
      </c>
      <c r="AC251" s="3">
        <v>20.329999999999998</v>
      </c>
      <c r="AD251" s="2" cm="1">
        <f t="array" ref="AD251">SUM($F$2:$F$38*($C$2:$C$38=$Q$4))</f>
        <v>7.5680000000000005</v>
      </c>
      <c r="AE251" s="3">
        <f t="shared" si="20"/>
        <v>153.85744</v>
      </c>
      <c r="AF251" s="3">
        <v>15.48</v>
      </c>
      <c r="AG251" s="2" cm="1">
        <f t="array" ref="AG251">SUM($F$2:$F$38*($C$2:$C$38=$Q$5))</f>
        <v>16.84</v>
      </c>
      <c r="AH251" s="3">
        <f t="shared" si="21"/>
        <v>260.6832</v>
      </c>
      <c r="AI251" s="3">
        <v>22.4</v>
      </c>
      <c r="AJ251" s="2" cm="1">
        <f t="array" ref="AJ251">SUM($F$2:$F$38*($C$2:$C$38=$Q$6))</f>
        <v>0</v>
      </c>
      <c r="AK251" s="3">
        <f t="shared" si="22"/>
        <v>0</v>
      </c>
      <c r="AL251" s="3">
        <v>15.77</v>
      </c>
      <c r="AM251" s="2" cm="1">
        <f t="array" ref="AM251">SUM($F$2:$F$38*($C$2:$C$38=$Q$8))</f>
        <v>0</v>
      </c>
      <c r="AN251" s="3">
        <f t="shared" si="23"/>
        <v>0</v>
      </c>
      <c r="AO251" s="3">
        <f>SUM(J2:J38)</f>
        <v>2283.2700000000004</v>
      </c>
      <c r="AP2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4059.8935490000003</v>
      </c>
      <c r="AQ251" s="12" cm="1">
        <f t="array" aca="1" ref="AQ251" ca="1">OFFSET(Table7[[#This Row],[Investment Increase]],0,-1)-SUM($J$2:$J$38*($E$2:$E$38=$Q$31))</f>
        <v>620.89354900000035</v>
      </c>
    </row>
    <row r="252" spans="22:43" x14ac:dyDescent="0.45">
      <c r="V252" s="9">
        <v>44384</v>
      </c>
      <c r="W252" s="3">
        <v>184.57</v>
      </c>
      <c r="X252" s="2" cm="1">
        <f t="array" ref="X252">SUM($F$2:$F$37*($C$2:$C$37=$Q$2))</f>
        <v>1.94</v>
      </c>
      <c r="Y252" s="3">
        <f t="shared" si="18"/>
        <v>358.06579999999997</v>
      </c>
      <c r="Z252" s="3">
        <v>188.01</v>
      </c>
      <c r="AA252" s="2" cm="1">
        <f t="array" ref="AA252">SUM($F$2:$F$37*($C$2:$C$37=$Q$3))</f>
        <v>3.4411</v>
      </c>
      <c r="AB252" s="3">
        <f t="shared" si="19"/>
        <v>646.96121099999993</v>
      </c>
      <c r="AC252" s="3">
        <v>20.54</v>
      </c>
      <c r="AD252" s="2" cm="1">
        <f t="array" ref="AD252">SUM($F$2:$F$37*($C$2:$C$37=$Q$4))</f>
        <v>7.5680000000000005</v>
      </c>
      <c r="AE252" s="3">
        <f t="shared" si="20"/>
        <v>155.44672</v>
      </c>
      <c r="AF252" s="3">
        <v>15.61</v>
      </c>
      <c r="AG252" s="2" cm="1">
        <f t="array" ref="AG252">SUM($F$2:$F$37*($C$2:$C$37=$Q$5))</f>
        <v>16.84</v>
      </c>
      <c r="AH252" s="3">
        <f t="shared" si="21"/>
        <v>262.87239999999997</v>
      </c>
      <c r="AI252" s="3">
        <v>22.61</v>
      </c>
      <c r="AJ252" s="2" cm="1">
        <f t="array" ref="AJ252">SUM($F$2:$F$37*($C$2:$C$37=$Q$6))</f>
        <v>0</v>
      </c>
      <c r="AK252" s="3">
        <f t="shared" si="22"/>
        <v>0</v>
      </c>
      <c r="AL252" s="3">
        <v>15.92</v>
      </c>
      <c r="AM252" s="2" cm="1">
        <f t="array" ref="AM252">SUM($F$2:$F$37*($C$2:$C$37=$Q$8))</f>
        <v>0</v>
      </c>
      <c r="AN252" s="3">
        <f t="shared" si="23"/>
        <v>0</v>
      </c>
      <c r="AO252" s="3">
        <f>SUM(J2:J37)</f>
        <v>2583.2700000000004</v>
      </c>
      <c r="AP2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4006.6161310000002</v>
      </c>
      <c r="AQ252" s="13" cm="1">
        <f t="array" aca="1" ref="AQ252" ca="1">OFFSET(Table7[[#This Row],[Investment Increase]],0,-1)-SUM($J$2:$J$37*($E$2:$E$37=$Q$31))</f>
        <v>567.61613100000022</v>
      </c>
    </row>
    <row r="253" spans="22:43" x14ac:dyDescent="0.45">
      <c r="V253" s="9">
        <v>44383</v>
      </c>
      <c r="W253" s="3">
        <v>184.63</v>
      </c>
      <c r="X253" s="2" cm="1">
        <f t="array" ref="X253">SUM($F$2:$F$37*($C$2:$C$37=$Q$2))</f>
        <v>1.94</v>
      </c>
      <c r="Y253" s="3">
        <f t="shared" si="18"/>
        <v>358.18219999999997</v>
      </c>
      <c r="Z253" s="3">
        <v>188.93</v>
      </c>
      <c r="AA253" s="2" cm="1">
        <f t="array" ref="AA253">SUM($F$2:$F$37*($C$2:$C$37=$Q$3))</f>
        <v>3.4411</v>
      </c>
      <c r="AB253" s="3">
        <f t="shared" si="19"/>
        <v>650.12702300000001</v>
      </c>
      <c r="AC253" s="3">
        <v>20.54</v>
      </c>
      <c r="AD253" s="2" cm="1">
        <f t="array" ref="AD253">SUM($F$2:$F$37*($C$2:$C$37=$Q$4))</f>
        <v>7.5680000000000005</v>
      </c>
      <c r="AE253" s="3">
        <f t="shared" si="20"/>
        <v>155.44672</v>
      </c>
      <c r="AF253" s="3">
        <v>15.57</v>
      </c>
      <c r="AG253" s="2" cm="1">
        <f t="array" ref="AG253">SUM($F$2:$F$37*($C$2:$C$37=$Q$5))</f>
        <v>16.84</v>
      </c>
      <c r="AH253" s="3">
        <f t="shared" si="21"/>
        <v>262.19880000000001</v>
      </c>
      <c r="AI253" s="3">
        <v>22.54</v>
      </c>
      <c r="AJ253" s="2" cm="1">
        <f t="array" ref="AJ253">SUM($F$2:$F$37*($C$2:$C$37=$Q$6))</f>
        <v>0</v>
      </c>
      <c r="AK253" s="3">
        <f t="shared" si="22"/>
        <v>0</v>
      </c>
      <c r="AL253" s="3">
        <v>15.85</v>
      </c>
      <c r="AM253" s="2" cm="1">
        <f t="array" ref="AM253">SUM($F$2:$F$37*($C$2:$C$37=$Q$8))</f>
        <v>0</v>
      </c>
      <c r="AN253" s="3">
        <f t="shared" si="23"/>
        <v>0</v>
      </c>
      <c r="AO253" s="3">
        <f>SUM(J2:J37)</f>
        <v>2583.2700000000004</v>
      </c>
      <c r="AP2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4009.2247430000002</v>
      </c>
      <c r="AQ253" s="14" cm="1">
        <f t="array" aca="1" ref="AQ253" ca="1">OFFSET(Table7[[#This Row],[Investment Increase]],0,-1)-SUM($J$2:$J$37*($E$2:$E$37=$Q$31))</f>
        <v>570.22474300000022</v>
      </c>
    </row>
    <row r="254" spans="22:43" x14ac:dyDescent="0.45">
      <c r="V254" s="9">
        <v>44379</v>
      </c>
      <c r="W254" s="3">
        <v>184.33</v>
      </c>
      <c r="X254" s="2" cm="1">
        <f t="array" ref="X254">SUM($F$2:$F$37*($C$2:$C$37=$Q$2))</f>
        <v>1.94</v>
      </c>
      <c r="Y254" s="3">
        <f t="shared" si="18"/>
        <v>357.60020000000003</v>
      </c>
      <c r="Z254" s="3">
        <v>188.6</v>
      </c>
      <c r="AA254" s="2" cm="1">
        <f t="array" ref="AA254">SUM($F$2:$F$37*($C$2:$C$37=$Q$3))</f>
        <v>3.4411</v>
      </c>
      <c r="AB254" s="3">
        <f t="shared" si="19"/>
        <v>648.99145999999996</v>
      </c>
      <c r="AC254" s="3">
        <v>20.45</v>
      </c>
      <c r="AD254" s="2" cm="1">
        <f t="array" ref="AD254">SUM($F$2:$F$37*($C$2:$C$37=$Q$4))</f>
        <v>7.5680000000000005</v>
      </c>
      <c r="AE254" s="3">
        <f t="shared" si="20"/>
        <v>154.76560000000001</v>
      </c>
      <c r="AF254" s="3">
        <v>15.58</v>
      </c>
      <c r="AG254" s="2" cm="1">
        <f t="array" ref="AG254">SUM($F$2:$F$37*($C$2:$C$37=$Q$5))</f>
        <v>16.84</v>
      </c>
      <c r="AH254" s="3">
        <f t="shared" si="21"/>
        <v>262.36720000000003</v>
      </c>
      <c r="AI254" s="3">
        <v>22.62</v>
      </c>
      <c r="AJ254" s="2" cm="1">
        <f t="array" ref="AJ254">SUM($F$2:$F$37*($C$2:$C$37=$Q$6))</f>
        <v>0</v>
      </c>
      <c r="AK254" s="3">
        <f t="shared" si="22"/>
        <v>0</v>
      </c>
      <c r="AL254" s="3">
        <v>16.190000000000001</v>
      </c>
      <c r="AM254" s="2" cm="1">
        <f t="array" ref="AM254">SUM($F$2:$F$37*($C$2:$C$37=$Q$8))</f>
        <v>0</v>
      </c>
      <c r="AN254" s="3">
        <f t="shared" si="23"/>
        <v>0</v>
      </c>
      <c r="AO254" s="3">
        <f>SUM(J2:J37)</f>
        <v>2583.2700000000004</v>
      </c>
      <c r="AP2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4006.9944600000003</v>
      </c>
      <c r="AQ254" s="3" cm="1">
        <f t="array" aca="1" ref="AQ254" ca="1">OFFSET(Table7[[#This Row],[Investment Increase]],0,-1)-SUM($J$2:$J$37*($E$2:$E$37=$Q$31))</f>
        <v>567.99446000000034</v>
      </c>
    </row>
    <row r="255" spans="22:43" x14ac:dyDescent="0.45">
      <c r="V255" s="9">
        <v>44378</v>
      </c>
      <c r="W255" s="3">
        <v>182.84</v>
      </c>
      <c r="X255" s="2" cm="1">
        <f t="array" ref="X255">SUM($F$2:$F$37*($C$2:$C$37=$Q$2))</f>
        <v>1.94</v>
      </c>
      <c r="Y255" s="3">
        <f t="shared" si="18"/>
        <v>354.70960000000002</v>
      </c>
      <c r="Z255" s="3">
        <v>187.06</v>
      </c>
      <c r="AA255" s="2" cm="1">
        <f t="array" ref="AA255">SUM($F$2:$F$37*($C$2:$C$37=$Q$3))</f>
        <v>3.4411</v>
      </c>
      <c r="AB255" s="3">
        <f t="shared" si="19"/>
        <v>643.69216600000004</v>
      </c>
      <c r="AC255" s="3">
        <v>20.21</v>
      </c>
      <c r="AD255" s="2" cm="1">
        <f t="array" ref="AD255">SUM($F$2:$F$37*($C$2:$C$37=$Q$4))</f>
        <v>7.5680000000000005</v>
      </c>
      <c r="AE255" s="3">
        <f t="shared" si="20"/>
        <v>152.94928000000002</v>
      </c>
      <c r="AF255" s="3">
        <v>15.46</v>
      </c>
      <c r="AG255" s="2" cm="1">
        <f t="array" ref="AG255">SUM($F$2:$F$37*($C$2:$C$37=$Q$5))</f>
        <v>16.84</v>
      </c>
      <c r="AH255" s="3">
        <f t="shared" si="21"/>
        <v>260.34640000000002</v>
      </c>
      <c r="AI255" s="3">
        <v>22.47</v>
      </c>
      <c r="AJ255" s="2" cm="1">
        <f t="array" ref="AJ255">SUM($F$2:$F$37*($C$2:$C$37=$Q$6))</f>
        <v>0</v>
      </c>
      <c r="AK255" s="3">
        <f t="shared" si="22"/>
        <v>0</v>
      </c>
      <c r="AL255" s="3">
        <v>16.13</v>
      </c>
      <c r="AM255" s="2" cm="1">
        <f t="array" ref="AM255">SUM($F$2:$F$37*($C$2:$C$37=$Q$8))</f>
        <v>0</v>
      </c>
      <c r="AN255" s="3">
        <f t="shared" si="23"/>
        <v>0</v>
      </c>
      <c r="AO255" s="3">
        <f>SUM(J2:J37)</f>
        <v>2583.2700000000004</v>
      </c>
      <c r="AP2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3994.9674460000006</v>
      </c>
      <c r="AQ255" s="3" cm="1">
        <f t="array" aca="1" ref="AQ255" ca="1">OFFSET(Table7[[#This Row],[Investment Increase]],0,-1)-SUM($J$2:$J$37*($E$2:$E$37=$Q$31))</f>
        <v>555.96744600000056</v>
      </c>
    </row>
    <row r="256" spans="22:43" x14ac:dyDescent="0.45">
      <c r="V256" s="9">
        <v>44377</v>
      </c>
      <c r="W256" s="3">
        <v>182.6</v>
      </c>
      <c r="X256" s="2" cm="1">
        <f t="array" ref="X256">SUM($F$2:$F$37*($C$2:$C$37=$Q$2))</f>
        <v>1.94</v>
      </c>
      <c r="Y256" s="3">
        <f t="shared" si="18"/>
        <v>354.24399999999997</v>
      </c>
      <c r="Z256" s="3">
        <v>186.74</v>
      </c>
      <c r="AA256" s="2" cm="1">
        <f t="array" ref="AA256">SUM($F$2:$F$37*($C$2:$C$37=$Q$3))</f>
        <v>3.4411</v>
      </c>
      <c r="AB256" s="3">
        <f t="shared" si="19"/>
        <v>642.59101400000009</v>
      </c>
      <c r="AC256" s="3">
        <v>20.18</v>
      </c>
      <c r="AD256" s="2" cm="1">
        <f t="array" ref="AD256">SUM($F$2:$F$37*($C$2:$C$37=$Q$4))</f>
        <v>7.5680000000000005</v>
      </c>
      <c r="AE256" s="3">
        <f t="shared" si="20"/>
        <v>152.72224</v>
      </c>
      <c r="AF256" s="3">
        <v>15.39</v>
      </c>
      <c r="AG256" s="2" cm="1">
        <f t="array" ref="AG256">SUM($F$2:$F$37*($C$2:$C$37=$Q$5))</f>
        <v>16.84</v>
      </c>
      <c r="AH256" s="3">
        <f t="shared" si="21"/>
        <v>259.16759999999999</v>
      </c>
      <c r="AI256" s="3">
        <v>22.34</v>
      </c>
      <c r="AJ256" s="2" cm="1">
        <f t="array" ref="AJ256">SUM($F$2:$F$37*($C$2:$C$37=$Q$6))</f>
        <v>0</v>
      </c>
      <c r="AK256" s="3">
        <f t="shared" si="22"/>
        <v>0</v>
      </c>
      <c r="AL256" s="3">
        <v>16.079999999999998</v>
      </c>
      <c r="AM256" s="2" cm="1">
        <f t="array" ref="AM256">SUM($F$2:$F$37*($C$2:$C$37=$Q$8))</f>
        <v>0</v>
      </c>
      <c r="AN256" s="3">
        <f t="shared" si="23"/>
        <v>0</v>
      </c>
      <c r="AO256" s="3">
        <f>SUM(J2:J37)</f>
        <v>2583.2700000000004</v>
      </c>
      <c r="AP2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3991.9948540000005</v>
      </c>
      <c r="AQ256" s="3" cm="1">
        <f t="array" aca="1" ref="AQ256" ca="1">OFFSET(Table7[[#This Row],[Investment Increase]],0,-1)-SUM($J$2:$J$37*($E$2:$E$37=$Q$31))</f>
        <v>552.99485400000049</v>
      </c>
    </row>
    <row r="257" spans="22:43" x14ac:dyDescent="0.45">
      <c r="V257" s="9">
        <v>44376</v>
      </c>
      <c r="W257" s="3">
        <v>182.93</v>
      </c>
      <c r="X257" s="2" cm="1">
        <f t="array" ref="X257">SUM($F$2:$F$36*($C$2:$C$36=$Q$2))</f>
        <v>1.94</v>
      </c>
      <c r="Y257" s="3">
        <f t="shared" si="18"/>
        <v>354.88420000000002</v>
      </c>
      <c r="Z257" s="3">
        <v>187.12</v>
      </c>
      <c r="AA257" s="2" cm="1">
        <f t="array" ref="AA257">SUM($F$2:$F$36*($C$2:$C$36=$Q$3))</f>
        <v>3.4411</v>
      </c>
      <c r="AB257" s="3">
        <f t="shared" si="19"/>
        <v>643.89863200000002</v>
      </c>
      <c r="AC257" s="3">
        <v>20.239999999999998</v>
      </c>
      <c r="AD257" s="2" cm="1">
        <f t="array" ref="AD257">SUM($F$2:$F$36*($C$2:$C$36=$Q$4))</f>
        <v>7.5680000000000005</v>
      </c>
      <c r="AE257" s="3">
        <f t="shared" si="20"/>
        <v>153.17632</v>
      </c>
      <c r="AF257" s="3">
        <v>15.38</v>
      </c>
      <c r="AG257" s="2" cm="1">
        <f t="array" ref="AG257">SUM($F$2:$F$36*($C$2:$C$36=$Q$5))</f>
        <v>16.84</v>
      </c>
      <c r="AH257" s="3">
        <f t="shared" si="21"/>
        <v>258.99920000000003</v>
      </c>
      <c r="AI257" s="3">
        <v>22.3</v>
      </c>
      <c r="AJ257" s="2" cm="1">
        <f t="array" ref="AJ257">SUM($F$2:$F$36*($C$2:$C$36=$Q$6))</f>
        <v>0</v>
      </c>
      <c r="AK257" s="3">
        <f t="shared" si="22"/>
        <v>0</v>
      </c>
      <c r="AL257" s="3">
        <v>16</v>
      </c>
      <c r="AM257" s="2" cm="1">
        <f t="array" ref="AM257">SUM($F$2:$F$36*($C$2:$C$36=$Q$8))</f>
        <v>0</v>
      </c>
      <c r="AN257" s="3">
        <f t="shared" si="23"/>
        <v>0</v>
      </c>
      <c r="AO257" s="3">
        <f>SUM(J2:J36)</f>
        <v>2583.2600000000002</v>
      </c>
      <c r="AP2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3994.2183520000003</v>
      </c>
      <c r="AQ257" s="3" cm="1">
        <f t="array" aca="1" ref="AQ257" ca="1">OFFSET(Table7[[#This Row],[Investment Increase]],0,-1)-SUM($J$2:$J$36*($E$2:$E$36=$Q$31))</f>
        <v>555.21835200000032</v>
      </c>
    </row>
    <row r="258" spans="22:43" x14ac:dyDescent="0.45">
      <c r="V258" s="9">
        <v>44375</v>
      </c>
      <c r="W258" s="3">
        <v>182.57</v>
      </c>
      <c r="X258" s="2" cm="1">
        <f t="array" ref="X258">SUM($F$2:$F$36*($C$2:$C$36=$Q$2))</f>
        <v>1.94</v>
      </c>
      <c r="Y258" s="3">
        <f t="shared" ref="Y258:Y321" si="24">PRODUCT(W258,X258)</f>
        <v>354.18579999999997</v>
      </c>
      <c r="Z258" s="3">
        <v>186.63</v>
      </c>
      <c r="AA258" s="2" cm="1">
        <f t="array" ref="AA258">SUM($F$2:$F$36*($C$2:$C$36=$Q$3))</f>
        <v>3.4411</v>
      </c>
      <c r="AB258" s="3">
        <f t="shared" ref="AB258:AB321" si="25">PRODUCT(Z258,AA258)</f>
        <v>642.21249299999999</v>
      </c>
      <c r="AC258" s="3">
        <v>20.190000000000001</v>
      </c>
      <c r="AD258" s="2" cm="1">
        <f t="array" ref="AD258">SUM($F$2:$F$36*($C$2:$C$36=$Q$4))</f>
        <v>7.5680000000000005</v>
      </c>
      <c r="AE258" s="3">
        <f t="shared" ref="AE258:AE321" si="26">PRODUCT(AC258,AD258)</f>
        <v>152.79792000000003</v>
      </c>
      <c r="AF258" s="3">
        <v>15.37</v>
      </c>
      <c r="AG258" s="2" cm="1">
        <f t="array" ref="AG258">SUM($F$2:$F$36*($C$2:$C$36=$Q$5))</f>
        <v>16.84</v>
      </c>
      <c r="AH258" s="3">
        <f t="shared" ref="AH258:AH321" si="27">PRODUCT(AF258,AG258)</f>
        <v>258.83080000000001</v>
      </c>
      <c r="AI258" s="3">
        <v>22.28</v>
      </c>
      <c r="AJ258" s="2" cm="1">
        <f t="array" ref="AJ258">SUM($F$2:$F$36*($C$2:$C$36=$Q$6))</f>
        <v>0</v>
      </c>
      <c r="AK258" s="3">
        <f t="shared" ref="AK258:AK321" si="28">PRODUCT(AI258,AJ258)</f>
        <v>0</v>
      </c>
      <c r="AL258" s="3">
        <v>16.02</v>
      </c>
      <c r="AM258" s="2" cm="1">
        <f t="array" ref="AM258">SUM($F$2:$F$36*($C$2:$C$36=$Q$8))</f>
        <v>0</v>
      </c>
      <c r="AN258" s="3">
        <f t="shared" ref="AN258:AN321" si="29">PRODUCT(AL258,AM258)</f>
        <v>0</v>
      </c>
      <c r="AO258" s="3">
        <f>SUM(J2:J36)</f>
        <v>2583.2600000000002</v>
      </c>
      <c r="AP2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3991.2870130000001</v>
      </c>
      <c r="AQ258" s="3" cm="1">
        <f t="array" aca="1" ref="AQ258" ca="1">OFFSET(Table7[[#This Row],[Investment Increase]],0,-1)-SUM($J$2:$J$36*($E$2:$E$36=$Q$31))</f>
        <v>552.28701300000012</v>
      </c>
    </row>
    <row r="259" spans="22:43" x14ac:dyDescent="0.45">
      <c r="V259" s="9">
        <v>44372</v>
      </c>
      <c r="W259" s="3">
        <v>180.81</v>
      </c>
      <c r="X259" s="2" cm="1">
        <f t="array" ref="X259">SUM($F$2:$F$36*($C$2:$C$36=$Q$2))</f>
        <v>1.94</v>
      </c>
      <c r="Y259" s="3">
        <f t="shared" si="24"/>
        <v>350.77139999999997</v>
      </c>
      <c r="Z259" s="3">
        <v>185.15</v>
      </c>
      <c r="AA259" s="2" cm="1">
        <f t="array" ref="AA259">SUM($F$2:$F$36*($C$2:$C$36=$Q$3))</f>
        <v>3.4411</v>
      </c>
      <c r="AB259" s="3">
        <f t="shared" si="25"/>
        <v>637.11966500000005</v>
      </c>
      <c r="AC259" s="3">
        <v>20.010000000000002</v>
      </c>
      <c r="AD259" s="2" cm="1">
        <f t="array" ref="AD259">SUM($F$2:$F$36*($C$2:$C$36=$Q$4))</f>
        <v>7.5680000000000005</v>
      </c>
      <c r="AE259" s="3">
        <f t="shared" si="26"/>
        <v>151.43568000000002</v>
      </c>
      <c r="AF259" s="3">
        <v>15.32</v>
      </c>
      <c r="AG259" s="2" cm="1">
        <f t="array" ref="AG259">SUM($F$2:$F$36*($C$2:$C$36=$Q$5))</f>
        <v>16.84</v>
      </c>
      <c r="AH259" s="3">
        <f t="shared" si="27"/>
        <v>257.98880000000003</v>
      </c>
      <c r="AI259" s="3">
        <v>22.25</v>
      </c>
      <c r="AJ259" s="2" cm="1">
        <f t="array" ref="AJ259">SUM($F$2:$F$36*($C$2:$C$36=$Q$6))</f>
        <v>0</v>
      </c>
      <c r="AK259" s="3">
        <f t="shared" si="28"/>
        <v>0</v>
      </c>
      <c r="AL259" s="3">
        <v>16.27</v>
      </c>
      <c r="AM259" s="2" cm="1">
        <f t="array" ref="AM259">SUM($F$2:$F$36*($C$2:$C$36=$Q$8))</f>
        <v>0</v>
      </c>
      <c r="AN259" s="3">
        <f t="shared" si="29"/>
        <v>0</v>
      </c>
      <c r="AO259" s="3">
        <f>SUM(J2:J36)</f>
        <v>2583.2600000000002</v>
      </c>
      <c r="AP2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3980.5755450000006</v>
      </c>
      <c r="AQ259" s="3" cm="1">
        <f t="array" aca="1" ref="AQ259" ca="1">OFFSET(Table7[[#This Row],[Investment Increase]],0,-1)-SUM($J$2:$J$36*($E$2:$E$36=$Q$31))</f>
        <v>541.5755450000006</v>
      </c>
    </row>
    <row r="260" spans="22:43" x14ac:dyDescent="0.45">
      <c r="V260" s="9">
        <v>44371</v>
      </c>
      <c r="W260" s="3">
        <v>180.93</v>
      </c>
      <c r="X260" s="2" cm="1">
        <f t="array" ref="X260">SUM($F$2:$F$36*($C$2:$C$36=$Q$2))</f>
        <v>1.94</v>
      </c>
      <c r="Y260" s="3">
        <f t="shared" si="24"/>
        <v>351.00420000000003</v>
      </c>
      <c r="Z260" s="3">
        <v>185.18</v>
      </c>
      <c r="AA260" s="2" cm="1">
        <f t="array" ref="AA260">SUM($F$2:$F$36*($C$2:$C$36=$Q$3))</f>
        <v>3.4411</v>
      </c>
      <c r="AB260" s="3">
        <f t="shared" si="25"/>
        <v>637.22289799999999</v>
      </c>
      <c r="AC260" s="3">
        <v>20.04</v>
      </c>
      <c r="AD260" s="2" cm="1">
        <f t="array" ref="AD260">SUM($F$2:$F$36*($C$2:$C$36=$Q$4))</f>
        <v>7.5680000000000005</v>
      </c>
      <c r="AE260" s="3">
        <f t="shared" si="26"/>
        <v>151.66272000000001</v>
      </c>
      <c r="AF260" s="3">
        <v>15.28</v>
      </c>
      <c r="AG260" s="2" cm="1">
        <f t="array" ref="AG260">SUM($F$2:$F$36*($C$2:$C$36=$Q$5))</f>
        <v>16.84</v>
      </c>
      <c r="AH260" s="3">
        <f t="shared" si="27"/>
        <v>257.3152</v>
      </c>
      <c r="AI260" s="3">
        <v>22.19</v>
      </c>
      <c r="AJ260" s="2" cm="1">
        <f t="array" ref="AJ260">SUM($F$2:$F$36*($C$2:$C$36=$Q$6))</f>
        <v>0</v>
      </c>
      <c r="AK260" s="3">
        <f t="shared" si="28"/>
        <v>0</v>
      </c>
      <c r="AL260" s="3">
        <v>16.239999999999998</v>
      </c>
      <c r="AM260" s="2" cm="1">
        <f t="array" ref="AM260">SUM($F$2:$F$36*($C$2:$C$36=$Q$8))</f>
        <v>0</v>
      </c>
      <c r="AN260" s="3">
        <f t="shared" si="29"/>
        <v>0</v>
      </c>
      <c r="AO260" s="3">
        <f>SUM(J2:J36)</f>
        <v>2583.2600000000002</v>
      </c>
      <c r="AP2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3980.4650180000003</v>
      </c>
      <c r="AQ260" s="3" cm="1">
        <f t="array" aca="1" ref="AQ260" ca="1">OFFSET(Table7[[#This Row],[Investment Increase]],0,-1)-SUM($J$2:$J$36*($E$2:$E$36=$Q$31))</f>
        <v>541.46501800000033</v>
      </c>
    </row>
    <row r="261" spans="22:43" x14ac:dyDescent="0.45">
      <c r="V261" s="9">
        <v>44370</v>
      </c>
      <c r="W261" s="3">
        <v>179.69</v>
      </c>
      <c r="X261" s="2" cm="1">
        <f t="array" ref="X261">SUM($F$2:$F$36*($C$2:$C$36=$Q$2))</f>
        <v>1.94</v>
      </c>
      <c r="Y261" s="3">
        <f t="shared" si="24"/>
        <v>348.59859999999998</v>
      </c>
      <c r="Z261" s="3">
        <v>183.88</v>
      </c>
      <c r="AA261" s="2" cm="1">
        <f t="array" ref="AA261">SUM($F$2:$F$36*($C$2:$C$36=$Q$3))</f>
        <v>3.4411</v>
      </c>
      <c r="AB261" s="3">
        <f t="shared" si="25"/>
        <v>632.74946799999998</v>
      </c>
      <c r="AC261" s="3">
        <v>19.940000000000001</v>
      </c>
      <c r="AD261" s="2" cm="1">
        <f t="array" ref="AD261">SUM($F$2:$F$36*($C$2:$C$36=$Q$4))</f>
        <v>7.5680000000000005</v>
      </c>
      <c r="AE261" s="3">
        <f t="shared" si="26"/>
        <v>150.90592000000001</v>
      </c>
      <c r="AF261" s="3">
        <v>15.18</v>
      </c>
      <c r="AG261" s="2" cm="1">
        <f t="array" ref="AG261">SUM($F$2:$F$36*($C$2:$C$36=$Q$5))</f>
        <v>16.84</v>
      </c>
      <c r="AH261" s="3">
        <f t="shared" si="27"/>
        <v>255.63120000000001</v>
      </c>
      <c r="AI261" s="3">
        <v>22.07</v>
      </c>
      <c r="AJ261" s="2" cm="1">
        <f t="array" ref="AJ261">SUM($F$2:$F$36*($C$2:$C$36=$Q$6))</f>
        <v>0</v>
      </c>
      <c r="AK261" s="3">
        <f t="shared" si="28"/>
        <v>0</v>
      </c>
      <c r="AL261" s="3">
        <v>16.079999999999998</v>
      </c>
      <c r="AM261" s="2" cm="1">
        <f t="array" ref="AM261">SUM($F$2:$F$36*($C$2:$C$36=$Q$8))</f>
        <v>0</v>
      </c>
      <c r="AN261" s="3">
        <f t="shared" si="29"/>
        <v>0</v>
      </c>
      <c r="AO261" s="3">
        <f>SUM(J2:J36)</f>
        <v>2583.2600000000002</v>
      </c>
      <c r="AP2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3971.1451880000004</v>
      </c>
      <c r="AQ261" s="3" cm="1">
        <f t="array" aca="1" ref="AQ261" ca="1">OFFSET(Table7[[#This Row],[Investment Increase]],0,-1)-SUM($J$2:$J$36*($E$2:$E$36=$Q$31))</f>
        <v>532.14518800000042</v>
      </c>
    </row>
    <row r="262" spans="22:43" x14ac:dyDescent="0.45">
      <c r="V262" s="9">
        <v>44369</v>
      </c>
      <c r="W262" s="3">
        <v>179.46</v>
      </c>
      <c r="X262" s="2" cm="1">
        <f t="array" ref="X262">SUM($F$2:$F$36*($C$2:$C$36=$Q$2))</f>
        <v>1.94</v>
      </c>
      <c r="Y262" s="3">
        <f t="shared" si="24"/>
        <v>348.1524</v>
      </c>
      <c r="Z262" s="3">
        <v>182.88</v>
      </c>
      <c r="AA262" s="2" cm="1">
        <f t="array" ref="AA262">SUM($F$2:$F$36*($C$2:$C$36=$Q$3))</f>
        <v>3.4411</v>
      </c>
      <c r="AB262" s="3">
        <f t="shared" si="25"/>
        <v>629.30836799999997</v>
      </c>
      <c r="AC262" s="3">
        <v>19.89</v>
      </c>
      <c r="AD262" s="2" cm="1">
        <f t="array" ref="AD262">SUM($F$2:$F$36*($C$2:$C$36=$Q$4))</f>
        <v>7.5680000000000005</v>
      </c>
      <c r="AE262" s="3">
        <f t="shared" si="26"/>
        <v>150.52752000000001</v>
      </c>
      <c r="AF262" s="3">
        <v>15.19</v>
      </c>
      <c r="AG262" s="2" cm="1">
        <f t="array" ref="AG262">SUM($F$2:$F$36*($C$2:$C$36=$Q$5))</f>
        <v>16.84</v>
      </c>
      <c r="AH262" s="3">
        <f t="shared" si="27"/>
        <v>255.7996</v>
      </c>
      <c r="AI262" s="3">
        <v>22.09</v>
      </c>
      <c r="AJ262" s="2" cm="1">
        <f t="array" ref="AJ262">SUM($F$2:$F$36*($C$2:$C$36=$Q$6))</f>
        <v>0</v>
      </c>
      <c r="AK262" s="3">
        <f t="shared" si="28"/>
        <v>0</v>
      </c>
      <c r="AL262" s="3">
        <v>16</v>
      </c>
      <c r="AM262" s="2" cm="1">
        <f t="array" ref="AM262">SUM($F$2:$F$36*($C$2:$C$36=$Q$8))</f>
        <v>0</v>
      </c>
      <c r="AN262" s="3">
        <f t="shared" si="29"/>
        <v>0</v>
      </c>
      <c r="AO262" s="3">
        <f>SUM(J2:J36)</f>
        <v>2583.2600000000002</v>
      </c>
      <c r="AP2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3967.0478880000001</v>
      </c>
      <c r="AQ262" s="3" cm="1">
        <f t="array" aca="1" ref="AQ262" ca="1">OFFSET(Table7[[#This Row],[Investment Increase]],0,-1)-SUM($J$2:$J$36*($E$2:$E$36=$Q$31))</f>
        <v>528.04788800000006</v>
      </c>
    </row>
    <row r="263" spans="22:43" x14ac:dyDescent="0.45">
      <c r="V263" s="9">
        <v>44368</v>
      </c>
      <c r="W263" s="3">
        <v>178.05</v>
      </c>
      <c r="X263" s="2" cm="1">
        <f t="array" ref="X263">SUM($F$2:$F$36*($C$2:$C$36=$Q$2))</f>
        <v>1.94</v>
      </c>
      <c r="Y263" s="3">
        <f t="shared" si="24"/>
        <v>345.41700000000003</v>
      </c>
      <c r="Z263" s="3">
        <v>181</v>
      </c>
      <c r="AA263" s="2" cm="1">
        <f t="array" ref="AA263">SUM($F$2:$F$36*($C$2:$C$36=$Q$3))</f>
        <v>3.4411</v>
      </c>
      <c r="AB263" s="3">
        <f t="shared" si="25"/>
        <v>622.83910000000003</v>
      </c>
      <c r="AC263" s="3">
        <v>19.72</v>
      </c>
      <c r="AD263" s="2" cm="1">
        <f t="array" ref="AD263">SUM($F$2:$F$36*($C$2:$C$36=$Q$4))</f>
        <v>7.5680000000000005</v>
      </c>
      <c r="AE263" s="3">
        <f t="shared" si="26"/>
        <v>149.24096</v>
      </c>
      <c r="AF263" s="3">
        <v>15.1</v>
      </c>
      <c r="AG263" s="2" cm="1">
        <f t="array" ref="AG263">SUM($F$2:$F$36*($C$2:$C$36=$Q$5))</f>
        <v>16.84</v>
      </c>
      <c r="AH263" s="3">
        <f t="shared" si="27"/>
        <v>254.28399999999999</v>
      </c>
      <c r="AI263" s="3">
        <v>21.98</v>
      </c>
      <c r="AJ263" s="2" cm="1">
        <f t="array" ref="AJ263">SUM($F$2:$F$36*($C$2:$C$36=$Q$6))</f>
        <v>0</v>
      </c>
      <c r="AK263" s="3">
        <f t="shared" si="28"/>
        <v>0</v>
      </c>
      <c r="AL263" s="3">
        <v>15.83</v>
      </c>
      <c r="AM263" s="2" cm="1">
        <f t="array" ref="AM263">SUM($F$2:$F$36*($C$2:$C$36=$Q$8))</f>
        <v>0</v>
      </c>
      <c r="AN263" s="3">
        <f t="shared" si="29"/>
        <v>0</v>
      </c>
      <c r="AO263" s="3">
        <f>SUM(J2:J36)</f>
        <v>2583.2600000000002</v>
      </c>
      <c r="AP2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3955.0410600000005</v>
      </c>
      <c r="AQ263" s="3" cm="1">
        <f t="array" aca="1" ref="AQ263" ca="1">OFFSET(Table7[[#This Row],[Investment Increase]],0,-1)-SUM($J$2:$J$36*($E$2:$E$36=$Q$31))</f>
        <v>516.04106000000047</v>
      </c>
    </row>
    <row r="264" spans="22:43" x14ac:dyDescent="0.45">
      <c r="V264" s="9">
        <v>44365</v>
      </c>
      <c r="W264" s="3">
        <v>176.64</v>
      </c>
      <c r="X264" s="2" cm="1">
        <f t="array" ref="X264">SUM($F$2:$F$36*($C$2:$C$36=$Q$2))</f>
        <v>1.94</v>
      </c>
      <c r="Y264" s="3">
        <f t="shared" si="24"/>
        <v>342.68159999999995</v>
      </c>
      <c r="Z264" s="3">
        <v>179.48</v>
      </c>
      <c r="AA264" s="2" cm="1">
        <f t="array" ref="AA264">SUM($F$2:$F$36*($C$2:$C$36=$Q$3))</f>
        <v>3.4411</v>
      </c>
      <c r="AB264" s="3">
        <f t="shared" si="25"/>
        <v>617.60862799999995</v>
      </c>
      <c r="AC264" s="3">
        <v>19.57</v>
      </c>
      <c r="AD264" s="2" cm="1">
        <f t="array" ref="AD264">SUM($F$2:$F$36*($C$2:$C$36=$Q$4))</f>
        <v>7.5680000000000005</v>
      </c>
      <c r="AE264" s="3">
        <f t="shared" si="26"/>
        <v>148.10576</v>
      </c>
      <c r="AF264" s="3">
        <v>14.91</v>
      </c>
      <c r="AG264" s="2" cm="1">
        <f t="array" ref="AG264">SUM($F$2:$F$36*($C$2:$C$36=$Q$5))</f>
        <v>16.84</v>
      </c>
      <c r="AH264" s="3">
        <f t="shared" si="27"/>
        <v>251.08439999999999</v>
      </c>
      <c r="AI264" s="3">
        <v>21.67</v>
      </c>
      <c r="AJ264" s="2" cm="1">
        <f t="array" ref="AJ264">SUM($F$2:$F$36*($C$2:$C$36=$Q$6))</f>
        <v>0</v>
      </c>
      <c r="AK264" s="3">
        <f t="shared" si="28"/>
        <v>0</v>
      </c>
      <c r="AL264" s="3">
        <v>15.5</v>
      </c>
      <c r="AM264" s="2" cm="1">
        <f t="array" ref="AM264">SUM($F$2:$F$36*($C$2:$C$36=$Q$8))</f>
        <v>0</v>
      </c>
      <c r="AN264" s="3">
        <f t="shared" si="29"/>
        <v>0</v>
      </c>
      <c r="AO264" s="3">
        <f>SUM(J2:J36)</f>
        <v>2583.2600000000002</v>
      </c>
      <c r="AP2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3942.7403880000002</v>
      </c>
      <c r="AQ264" s="3" cm="1">
        <f t="array" aca="1" ref="AQ264" ca="1">OFFSET(Table7[[#This Row],[Investment Increase]],0,-1)-SUM($J$2:$J$36*($E$2:$E$36=$Q$31))</f>
        <v>503.74038800000017</v>
      </c>
    </row>
    <row r="265" spans="22:43" x14ac:dyDescent="0.45">
      <c r="V265" s="9">
        <v>44364</v>
      </c>
      <c r="W265" s="3">
        <v>178.3</v>
      </c>
      <c r="X265" s="2" cm="1">
        <f t="array" ref="X265">SUM($F$2:$F$36*($C$2:$C$36=$Q$2))</f>
        <v>1.94</v>
      </c>
      <c r="Y265" s="3">
        <f t="shared" si="24"/>
        <v>345.90199999999999</v>
      </c>
      <c r="Z265" s="3">
        <v>180.58</v>
      </c>
      <c r="AA265" s="2" cm="1">
        <f t="array" ref="AA265">SUM($F$2:$F$36*($C$2:$C$36=$Q$3))</f>
        <v>3.4411</v>
      </c>
      <c r="AB265" s="3">
        <f t="shared" si="25"/>
        <v>621.39383800000007</v>
      </c>
      <c r="AC265" s="3">
        <v>19.71</v>
      </c>
      <c r="AD265" s="2" cm="1">
        <f t="array" ref="AD265">SUM($F$2:$F$36*($C$2:$C$36=$Q$4))</f>
        <v>7.5680000000000005</v>
      </c>
      <c r="AE265" s="3">
        <f t="shared" si="26"/>
        <v>149.16528000000002</v>
      </c>
      <c r="AF265" s="3">
        <v>15.09</v>
      </c>
      <c r="AG265" s="2" cm="1">
        <f t="array" ref="AG265">SUM($F$2:$F$36*($C$2:$C$36=$Q$5))</f>
        <v>16.84</v>
      </c>
      <c r="AH265" s="3">
        <f t="shared" si="27"/>
        <v>254.1156</v>
      </c>
      <c r="AI265" s="3">
        <v>21.94</v>
      </c>
      <c r="AJ265" s="2" cm="1">
        <f t="array" ref="AJ265">SUM($F$2:$F$36*($C$2:$C$36=$Q$6))</f>
        <v>0</v>
      </c>
      <c r="AK265" s="3">
        <f t="shared" si="28"/>
        <v>0</v>
      </c>
      <c r="AL265" s="3">
        <v>15.86</v>
      </c>
      <c r="AM265" s="2" cm="1">
        <f t="array" ref="AM265">SUM($F$2:$F$36*($C$2:$C$36=$Q$8))</f>
        <v>0</v>
      </c>
      <c r="AN265" s="3">
        <f t="shared" si="29"/>
        <v>0</v>
      </c>
      <c r="AO265" s="3">
        <f>SUM(J2:J36)</f>
        <v>2583.2600000000002</v>
      </c>
      <c r="AP2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3953.8367180000005</v>
      </c>
      <c r="AQ265" s="3" cm="1">
        <f t="array" aca="1" ref="AQ265" ca="1">OFFSET(Table7[[#This Row],[Investment Increase]],0,-1)-SUM($J$2:$J$36*($E$2:$E$36=$Q$31))</f>
        <v>514.83671800000047</v>
      </c>
    </row>
    <row r="266" spans="22:43" x14ac:dyDescent="0.45">
      <c r="V266" s="9">
        <v>44363</v>
      </c>
      <c r="W266" s="3">
        <v>176.76</v>
      </c>
      <c r="X266" s="2" cm="1">
        <f t="array" ref="X266">SUM($F$2:$F$36*($C$2:$C$36=$Q$2))</f>
        <v>1.94</v>
      </c>
      <c r="Y266" s="3">
        <f t="shared" si="24"/>
        <v>342.9144</v>
      </c>
      <c r="Z266" s="3">
        <v>178.66</v>
      </c>
      <c r="AA266" s="2" cm="1">
        <f t="array" ref="AA266">SUM($F$2:$F$36*($C$2:$C$36=$Q$3))</f>
        <v>3.4411</v>
      </c>
      <c r="AB266" s="3">
        <f t="shared" si="25"/>
        <v>614.78692599999999</v>
      </c>
      <c r="AC266" s="3">
        <v>19.48</v>
      </c>
      <c r="AD266" s="2" cm="1">
        <f t="array" ref="AD266">SUM($F$2:$F$36*($C$2:$C$36=$Q$4))</f>
        <v>7.5680000000000005</v>
      </c>
      <c r="AE266" s="3">
        <f t="shared" si="26"/>
        <v>147.42464000000001</v>
      </c>
      <c r="AF266" s="3">
        <v>15.07</v>
      </c>
      <c r="AG266" s="2" cm="1">
        <f t="array" ref="AG266">SUM($F$2:$F$36*($C$2:$C$36=$Q$5))</f>
        <v>16.84</v>
      </c>
      <c r="AH266" s="3">
        <f t="shared" si="27"/>
        <v>253.77879999999999</v>
      </c>
      <c r="AI266" s="3">
        <v>21.99</v>
      </c>
      <c r="AJ266" s="2" cm="1">
        <f t="array" ref="AJ266">SUM($F$2:$F$36*($C$2:$C$36=$Q$6))</f>
        <v>0</v>
      </c>
      <c r="AK266" s="3">
        <f t="shared" si="28"/>
        <v>0</v>
      </c>
      <c r="AL266" s="3">
        <v>16.37</v>
      </c>
      <c r="AM266" s="2" cm="1">
        <f t="array" ref="AM266">SUM($F$2:$F$36*($C$2:$C$36=$Q$8))</f>
        <v>0</v>
      </c>
      <c r="AN266" s="3">
        <f t="shared" si="29"/>
        <v>0</v>
      </c>
      <c r="AO266" s="3">
        <f>SUM(J2:J36)</f>
        <v>2583.2600000000002</v>
      </c>
      <c r="AP2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3942.1647660000003</v>
      </c>
      <c r="AQ266" s="3" cm="1">
        <f t="array" aca="1" ref="AQ266" ca="1">OFFSET(Table7[[#This Row],[Investment Increase]],0,-1)-SUM($J$2:$J$36*($E$2:$E$36=$Q$31))</f>
        <v>503.16476600000033</v>
      </c>
    </row>
    <row r="267" spans="22:43" x14ac:dyDescent="0.45">
      <c r="V267" s="9">
        <v>44362</v>
      </c>
      <c r="W267" s="3">
        <v>177.18</v>
      </c>
      <c r="X267" s="2" cm="1">
        <f t="array" ref="X267">SUM($F$2:$F$36*($C$2:$C$36=$Q$2))</f>
        <v>1.94</v>
      </c>
      <c r="Y267" s="3">
        <f t="shared" si="24"/>
        <v>343.72919999999999</v>
      </c>
      <c r="Z267" s="3">
        <v>179.01</v>
      </c>
      <c r="AA267" s="2" cm="1">
        <f t="array" ref="AA267">SUM($F$2:$F$36*($C$2:$C$36=$Q$3))</f>
        <v>3.4411</v>
      </c>
      <c r="AB267" s="3">
        <f t="shared" si="25"/>
        <v>615.991311</v>
      </c>
      <c r="AC267" s="3">
        <v>19.52</v>
      </c>
      <c r="AD267" s="2" cm="1">
        <f t="array" ref="AD267">SUM($F$2:$F$36*($C$2:$C$36=$Q$4))</f>
        <v>7.5680000000000005</v>
      </c>
      <c r="AE267" s="3">
        <f t="shared" si="26"/>
        <v>147.72736</v>
      </c>
      <c r="AF267" s="3">
        <v>15.14</v>
      </c>
      <c r="AG267" s="2" cm="1">
        <f t="array" ref="AG267">SUM($F$2:$F$36*($C$2:$C$36=$Q$5))</f>
        <v>16.84</v>
      </c>
      <c r="AH267" s="3">
        <f t="shared" si="27"/>
        <v>254.95760000000001</v>
      </c>
      <c r="AI267" s="3">
        <v>22.11</v>
      </c>
      <c r="AJ267" s="2" cm="1">
        <f t="array" ref="AJ267">SUM($F$2:$F$36*($C$2:$C$36=$Q$6))</f>
        <v>0</v>
      </c>
      <c r="AK267" s="3">
        <f t="shared" si="28"/>
        <v>0</v>
      </c>
      <c r="AL267" s="3">
        <v>16.57</v>
      </c>
      <c r="AM267" s="2" cm="1">
        <f t="array" ref="AM267">SUM($F$2:$F$36*($C$2:$C$36=$Q$8))</f>
        <v>0</v>
      </c>
      <c r="AN267" s="3">
        <f t="shared" si="29"/>
        <v>0</v>
      </c>
      <c r="AO267" s="3">
        <f>SUM(J2:J36)</f>
        <v>2583.2600000000002</v>
      </c>
      <c r="AP2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3945.6654710000003</v>
      </c>
      <c r="AQ267" s="3" cm="1">
        <f t="array" aca="1" ref="AQ267" ca="1">OFFSET(Table7[[#This Row],[Investment Increase]],0,-1)-SUM($J$2:$J$36*($E$2:$E$36=$Q$31))</f>
        <v>506.66547100000025</v>
      </c>
    </row>
    <row r="268" spans="22:43" x14ac:dyDescent="0.45">
      <c r="V268" s="9">
        <v>44361</v>
      </c>
      <c r="W268" s="3">
        <v>178.45</v>
      </c>
      <c r="X268" s="2" cm="1">
        <f t="array" ref="X268">SUM($F$2:$F$36*($C$2:$C$36=$Q$2))</f>
        <v>1.94</v>
      </c>
      <c r="Y268" s="3">
        <f t="shared" si="24"/>
        <v>346.19299999999998</v>
      </c>
      <c r="Z268" s="3">
        <v>180.66</v>
      </c>
      <c r="AA268" s="2" cm="1">
        <f t="array" ref="AA268">SUM($F$2:$F$36*($C$2:$C$36=$Q$3))</f>
        <v>3.4411</v>
      </c>
      <c r="AB268" s="3">
        <f t="shared" si="25"/>
        <v>621.66912600000001</v>
      </c>
      <c r="AC268" s="3">
        <v>19.64</v>
      </c>
      <c r="AD268" s="2" cm="1">
        <f t="array" ref="AD268">SUM($F$2:$F$36*($C$2:$C$36=$Q$4))</f>
        <v>7.5680000000000005</v>
      </c>
      <c r="AE268" s="3">
        <f t="shared" si="26"/>
        <v>148.63552000000001</v>
      </c>
      <c r="AF268" s="3">
        <v>15.19</v>
      </c>
      <c r="AG268" s="2" cm="1">
        <f t="array" ref="AG268">SUM($F$2:$F$36*($C$2:$C$36=$Q$5))</f>
        <v>16.84</v>
      </c>
      <c r="AH268" s="3">
        <f t="shared" si="27"/>
        <v>255.7996</v>
      </c>
      <c r="AI268" s="3">
        <v>22.16</v>
      </c>
      <c r="AJ268" s="2" cm="1">
        <f t="array" ref="AJ268">SUM($F$2:$F$36*($C$2:$C$36=$Q$6))</f>
        <v>0</v>
      </c>
      <c r="AK268" s="3">
        <f t="shared" si="28"/>
        <v>0</v>
      </c>
      <c r="AL268" s="3">
        <v>16.670000000000002</v>
      </c>
      <c r="AM268" s="2" cm="1">
        <f t="array" ref="AM268">SUM($F$2:$F$36*($C$2:$C$36=$Q$8))</f>
        <v>0</v>
      </c>
      <c r="AN268" s="3">
        <f t="shared" si="29"/>
        <v>0</v>
      </c>
      <c r="AO268" s="3">
        <f>SUM(J2:J36)</f>
        <v>2583.2600000000002</v>
      </c>
      <c r="AP2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3955.5572460000003</v>
      </c>
      <c r="AQ268" s="3" cm="1">
        <f t="array" aca="1" ref="AQ268" ca="1">OFFSET(Table7[[#This Row],[Investment Increase]],0,-1)-SUM($J$2:$J$36*($E$2:$E$36=$Q$31))</f>
        <v>516.5572460000003</v>
      </c>
    </row>
    <row r="269" spans="22:43" x14ac:dyDescent="0.45">
      <c r="V269" s="9">
        <v>44358</v>
      </c>
      <c r="W269" s="3">
        <v>177.1</v>
      </c>
      <c r="X269" s="2" cm="1">
        <f t="array" ref="X269">SUM($F$2:$F$36*($C$2:$C$36=$Q$2))</f>
        <v>1.94</v>
      </c>
      <c r="Y269" s="3">
        <f t="shared" si="24"/>
        <v>343.57399999999996</v>
      </c>
      <c r="Z269" s="3">
        <v>179.1</v>
      </c>
      <c r="AA269" s="2" cm="1">
        <f t="array" ref="AA269">SUM($F$2:$F$36*($C$2:$C$36=$Q$3))</f>
        <v>3.4411</v>
      </c>
      <c r="AB269" s="3">
        <f t="shared" si="25"/>
        <v>616.30101000000002</v>
      </c>
      <c r="AC269" s="3">
        <v>19.45</v>
      </c>
      <c r="AD269" s="2" cm="1">
        <f t="array" ref="AD269">SUM($F$2:$F$36*($C$2:$C$36=$Q$4))</f>
        <v>7.5680000000000005</v>
      </c>
      <c r="AE269" s="3">
        <f t="shared" si="26"/>
        <v>147.19759999999999</v>
      </c>
      <c r="AF269" s="3">
        <v>15.15</v>
      </c>
      <c r="AG269" s="2" cm="1">
        <f t="array" ref="AG269">SUM($F$2:$F$36*($C$2:$C$36=$Q$5))</f>
        <v>16.84</v>
      </c>
      <c r="AH269" s="3">
        <f t="shared" si="27"/>
        <v>255.126</v>
      </c>
      <c r="AI269" s="3">
        <v>22.14</v>
      </c>
      <c r="AJ269" s="2" cm="1">
        <f t="array" ref="AJ269">SUM($F$2:$F$36*($C$2:$C$36=$Q$6))</f>
        <v>0</v>
      </c>
      <c r="AK269" s="3">
        <f t="shared" si="28"/>
        <v>0</v>
      </c>
      <c r="AL269" s="3">
        <v>16.78</v>
      </c>
      <c r="AM269" s="2" cm="1">
        <f t="array" ref="AM269">SUM($F$2:$F$36*($C$2:$C$36=$Q$8))</f>
        <v>0</v>
      </c>
      <c r="AN269" s="3">
        <f t="shared" si="29"/>
        <v>0</v>
      </c>
      <c r="AO269" s="3">
        <f>SUM(J2:J36)</f>
        <v>2583.2600000000002</v>
      </c>
      <c r="AP2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3945.4586100000001</v>
      </c>
      <c r="AQ269" s="3" cm="1">
        <f t="array" aca="1" ref="AQ269" ca="1">OFFSET(Table7[[#This Row],[Investment Increase]],0,-1)-SUM($J$2:$J$36*($E$2:$E$36=$Q$31))</f>
        <v>506.45861000000014</v>
      </c>
    </row>
    <row r="270" spans="22:43" x14ac:dyDescent="0.45">
      <c r="V270" s="9">
        <v>44357</v>
      </c>
      <c r="W270" s="3">
        <v>176.49</v>
      </c>
      <c r="X270" s="2" cm="1">
        <f t="array" ref="X270">SUM($F$2:$F$36*($C$2:$C$36=$Q$2))</f>
        <v>1.94</v>
      </c>
      <c r="Y270" s="3">
        <f t="shared" si="24"/>
        <v>342.39060000000001</v>
      </c>
      <c r="Z270" s="3">
        <v>177.83</v>
      </c>
      <c r="AA270" s="2" cm="1">
        <f t="array" ref="AA270">SUM($F$2:$F$36*($C$2:$C$36=$Q$3))</f>
        <v>3.4411</v>
      </c>
      <c r="AB270" s="3">
        <f t="shared" si="25"/>
        <v>611.93081300000006</v>
      </c>
      <c r="AC270" s="3">
        <v>19.37</v>
      </c>
      <c r="AD270" s="2" cm="1">
        <f t="array" ref="AD270">SUM($F$2:$F$36*($C$2:$C$36=$Q$4))</f>
        <v>7.5680000000000005</v>
      </c>
      <c r="AE270" s="3">
        <f t="shared" si="26"/>
        <v>146.59216000000001</v>
      </c>
      <c r="AF270" s="3">
        <v>15.11</v>
      </c>
      <c r="AG270" s="2" cm="1">
        <f t="array" ref="AG270">SUM($F$2:$F$36*($C$2:$C$36=$Q$5))</f>
        <v>16.84</v>
      </c>
      <c r="AH270" s="3">
        <f t="shared" si="27"/>
        <v>254.45239999999998</v>
      </c>
      <c r="AI270" s="3">
        <v>22.08</v>
      </c>
      <c r="AJ270" s="2" cm="1">
        <f t="array" ref="AJ270">SUM($F$2:$F$36*($C$2:$C$36=$Q$6))</f>
        <v>0</v>
      </c>
      <c r="AK270" s="3">
        <f t="shared" si="28"/>
        <v>0</v>
      </c>
      <c r="AL270" s="3">
        <v>16.760000000000002</v>
      </c>
      <c r="AM270" s="2" cm="1">
        <f t="array" ref="AM270">SUM($F$2:$F$36*($C$2:$C$36=$Q$8))</f>
        <v>0</v>
      </c>
      <c r="AN270" s="3">
        <f t="shared" si="29"/>
        <v>0</v>
      </c>
      <c r="AO270" s="3">
        <f>SUM(J2:J36)</f>
        <v>2583.2600000000002</v>
      </c>
      <c r="AP2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3938.6259730000002</v>
      </c>
      <c r="AQ270" s="3" cm="1">
        <f t="array" aca="1" ref="AQ270" ca="1">OFFSET(Table7[[#This Row],[Investment Increase]],0,-1)-SUM($J$2:$J$36*($E$2:$E$36=$Q$31))</f>
        <v>499.62597300000016</v>
      </c>
    </row>
    <row r="271" spans="22:43" x14ac:dyDescent="0.45">
      <c r="V271" s="9">
        <v>44356</v>
      </c>
      <c r="W271" s="3">
        <v>175.11</v>
      </c>
      <c r="X271" s="2" cm="1">
        <f t="array" ref="X271">SUM($F$2:$F$36*($C$2:$C$36=$Q$2))</f>
        <v>1.94</v>
      </c>
      <c r="Y271" s="3">
        <f t="shared" si="24"/>
        <v>339.71340000000004</v>
      </c>
      <c r="Z271" s="3">
        <v>176.32</v>
      </c>
      <c r="AA271" s="2" cm="1">
        <f t="array" ref="AA271">SUM($F$2:$F$36*($C$2:$C$36=$Q$3))</f>
        <v>3.4411</v>
      </c>
      <c r="AB271" s="3">
        <f t="shared" si="25"/>
        <v>606.73475199999996</v>
      </c>
      <c r="AC271" s="3">
        <v>19.2</v>
      </c>
      <c r="AD271" s="2" cm="1">
        <f t="array" ref="AD271">SUM($F$2:$F$36*($C$2:$C$36=$Q$4))</f>
        <v>7.5680000000000005</v>
      </c>
      <c r="AE271" s="3">
        <f t="shared" si="26"/>
        <v>145.3056</v>
      </c>
      <c r="AF271" s="3">
        <v>15.03</v>
      </c>
      <c r="AG271" s="2" cm="1">
        <f t="array" ref="AG271">SUM($F$2:$F$36*($C$2:$C$36=$Q$5))</f>
        <v>16.84</v>
      </c>
      <c r="AH271" s="3">
        <f t="shared" si="27"/>
        <v>253.1052</v>
      </c>
      <c r="AI271" s="3">
        <v>22.01</v>
      </c>
      <c r="AJ271" s="2" cm="1">
        <f t="array" ref="AJ271">SUM($F$2:$F$36*($C$2:$C$36=$Q$6))</f>
        <v>0</v>
      </c>
      <c r="AK271" s="3">
        <f t="shared" si="28"/>
        <v>0</v>
      </c>
      <c r="AL271" s="3">
        <v>16.77</v>
      </c>
      <c r="AM271" s="2" cm="1">
        <f t="array" ref="AM271">SUM($F$2:$F$36*($C$2:$C$36=$Q$8))</f>
        <v>0</v>
      </c>
      <c r="AN271" s="3">
        <f t="shared" si="29"/>
        <v>0</v>
      </c>
      <c r="AO271" s="3">
        <f>SUM(J2:J36)</f>
        <v>2583.2600000000002</v>
      </c>
      <c r="AP2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3928.1189519999998</v>
      </c>
      <c r="AQ271" s="3" cm="1">
        <f t="array" aca="1" ref="AQ271" ca="1">OFFSET(Table7[[#This Row],[Investment Increase]],0,-1)-SUM($J$2:$J$36*($E$2:$E$36=$Q$31))</f>
        <v>489.11895199999981</v>
      </c>
    </row>
    <row r="272" spans="22:43" x14ac:dyDescent="0.45">
      <c r="V272" s="9">
        <v>44355</v>
      </c>
      <c r="W272" s="3">
        <v>175.27</v>
      </c>
      <c r="X272" s="2" cm="1">
        <f t="array" ref="X272">SUM($F$2:$F$36*($C$2:$C$36=$Q$2))</f>
        <v>1.94</v>
      </c>
      <c r="Y272" s="3">
        <f t="shared" si="24"/>
        <v>340.02379999999999</v>
      </c>
      <c r="Z272" s="3">
        <v>177.11</v>
      </c>
      <c r="AA272" s="2" cm="1">
        <f t="array" ref="AA272">SUM($F$2:$F$36*($C$2:$C$36=$Q$3))</f>
        <v>3.4411</v>
      </c>
      <c r="AB272" s="3">
        <f t="shared" si="25"/>
        <v>609.4532210000001</v>
      </c>
      <c r="AC272" s="3">
        <v>19.21</v>
      </c>
      <c r="AD272" s="2" cm="1">
        <f t="array" ref="AD272">SUM($F$2:$F$36*($C$2:$C$36=$Q$4))</f>
        <v>7.5680000000000005</v>
      </c>
      <c r="AE272" s="3">
        <f t="shared" si="26"/>
        <v>145.38128</v>
      </c>
      <c r="AF272" s="3">
        <v>15.05</v>
      </c>
      <c r="AG272" s="2" cm="1">
        <f t="array" ref="AG272">SUM($F$2:$F$36*($C$2:$C$36=$Q$5))</f>
        <v>16.84</v>
      </c>
      <c r="AH272" s="3">
        <f t="shared" si="27"/>
        <v>253.44200000000001</v>
      </c>
      <c r="AI272" s="3">
        <v>22.07</v>
      </c>
      <c r="AJ272" s="2" cm="1">
        <f t="array" ref="AJ272">SUM($F$2:$F$36*($C$2:$C$36=$Q$6))</f>
        <v>0</v>
      </c>
      <c r="AK272" s="3">
        <f t="shared" si="28"/>
        <v>0</v>
      </c>
      <c r="AL272" s="3">
        <v>16.84</v>
      </c>
      <c r="AM272" s="2" cm="1">
        <f t="array" ref="AM272">SUM($F$2:$F$36*($C$2:$C$36=$Q$8))</f>
        <v>0</v>
      </c>
      <c r="AN272" s="3">
        <f t="shared" si="29"/>
        <v>0</v>
      </c>
      <c r="AO272" s="3">
        <f>SUM(J2:J36)</f>
        <v>2583.2600000000002</v>
      </c>
      <c r="AP2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3931.5603010000004</v>
      </c>
      <c r="AQ272" s="3" cm="1">
        <f t="array" aca="1" ref="AQ272" ca="1">OFFSET(Table7[[#This Row],[Investment Increase]],0,-1)-SUM($J$2:$J$36*($E$2:$E$36=$Q$31))</f>
        <v>492.56030100000044</v>
      </c>
    </row>
    <row r="273" spans="22:43" x14ac:dyDescent="0.45">
      <c r="V273" s="9">
        <v>44354</v>
      </c>
      <c r="W273" s="3">
        <v>174.73</v>
      </c>
      <c r="X273" s="2" cm="1">
        <f t="array" ref="X273">SUM($F$2:$F$36*($C$2:$C$36=$Q$2))</f>
        <v>1.94</v>
      </c>
      <c r="Y273" s="3">
        <f t="shared" si="24"/>
        <v>338.97619999999995</v>
      </c>
      <c r="Z273" s="3">
        <v>176.67</v>
      </c>
      <c r="AA273" s="2" cm="1">
        <f t="array" ref="AA273">SUM($F$2:$F$36*($C$2:$C$36=$Q$3))</f>
        <v>3.4411</v>
      </c>
      <c r="AB273" s="3">
        <f t="shared" si="25"/>
        <v>607.93913699999996</v>
      </c>
      <c r="AC273" s="3">
        <v>19.190000000000001</v>
      </c>
      <c r="AD273" s="2" cm="1">
        <f t="array" ref="AD273">SUM($F$2:$F$36*($C$2:$C$36=$Q$4))</f>
        <v>7.5680000000000005</v>
      </c>
      <c r="AE273" s="3">
        <f t="shared" si="26"/>
        <v>145.22992000000002</v>
      </c>
      <c r="AF273" s="3">
        <v>15.05</v>
      </c>
      <c r="AG273" s="2" cm="1">
        <f t="array" ref="AG273">SUM($F$2:$F$36*($C$2:$C$36=$Q$5))</f>
        <v>16.84</v>
      </c>
      <c r="AH273" s="3">
        <f t="shared" si="27"/>
        <v>253.44200000000001</v>
      </c>
      <c r="AI273" s="3">
        <v>22.04</v>
      </c>
      <c r="AJ273" s="2" cm="1">
        <f t="array" ref="AJ273">SUM($F$2:$F$36*($C$2:$C$36=$Q$6))</f>
        <v>0</v>
      </c>
      <c r="AK273" s="3">
        <f t="shared" si="28"/>
        <v>0</v>
      </c>
      <c r="AL273" s="3">
        <v>16.77</v>
      </c>
      <c r="AM273" s="2" cm="1">
        <f t="array" ref="AM273">SUM($F$2:$F$36*($C$2:$C$36=$Q$8))</f>
        <v>0</v>
      </c>
      <c r="AN273" s="3">
        <f t="shared" si="29"/>
        <v>0</v>
      </c>
      <c r="AO273" s="3">
        <f>SUM(J2:J36)</f>
        <v>2583.2600000000002</v>
      </c>
      <c r="AP2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3928.8472570000004</v>
      </c>
      <c r="AQ273" s="3" cm="1">
        <f t="array" aca="1" ref="AQ273" ca="1">OFFSET(Table7[[#This Row],[Investment Increase]],0,-1)-SUM($J$2:$J$36*($E$2:$E$36=$Q$31))</f>
        <v>489.84725700000035</v>
      </c>
    </row>
    <row r="274" spans="22:43" x14ac:dyDescent="0.45">
      <c r="V274" s="9">
        <v>44351</v>
      </c>
      <c r="W274" s="3">
        <v>173.89</v>
      </c>
      <c r="X274" s="2" cm="1">
        <f t="array" ref="X274">SUM($F$2:$F$36*($C$2:$C$36=$Q$2))</f>
        <v>1.94</v>
      </c>
      <c r="Y274" s="3">
        <f t="shared" si="24"/>
        <v>337.34659999999997</v>
      </c>
      <c r="Z274" s="3">
        <v>175.58</v>
      </c>
      <c r="AA274" s="2" cm="1">
        <f t="array" ref="AA274">SUM($F$2:$F$36*($C$2:$C$36=$Q$3))</f>
        <v>3.4411</v>
      </c>
      <c r="AB274" s="3">
        <f t="shared" si="25"/>
        <v>604.18833800000004</v>
      </c>
      <c r="AC274" s="3">
        <v>19.13</v>
      </c>
      <c r="AD274" s="2" cm="1">
        <f t="array" ref="AD274">SUM($F$2:$F$36*($C$2:$C$36=$Q$4))</f>
        <v>7.5680000000000005</v>
      </c>
      <c r="AE274" s="3">
        <f t="shared" si="26"/>
        <v>144.77583999999999</v>
      </c>
      <c r="AF274" s="3">
        <v>15.05</v>
      </c>
      <c r="AG274" s="2" cm="1">
        <f t="array" ref="AG274">SUM($F$2:$F$36*($C$2:$C$36=$Q$5))</f>
        <v>16.84</v>
      </c>
      <c r="AH274" s="3">
        <f t="shared" si="27"/>
        <v>253.44200000000001</v>
      </c>
      <c r="AI274" s="3">
        <v>22.02</v>
      </c>
      <c r="AJ274" s="2" cm="1">
        <f t="array" ref="AJ274">SUM($F$2:$F$36*($C$2:$C$36=$Q$6))</f>
        <v>0</v>
      </c>
      <c r="AK274" s="3">
        <f t="shared" si="28"/>
        <v>0</v>
      </c>
      <c r="AL274" s="3">
        <v>16.88</v>
      </c>
      <c r="AM274" s="2" cm="1">
        <f t="array" ref="AM274">SUM($F$2:$F$36*($C$2:$C$36=$Q$8))</f>
        <v>0</v>
      </c>
      <c r="AN274" s="3">
        <f t="shared" si="29"/>
        <v>0</v>
      </c>
      <c r="AO274" s="3">
        <f>SUM(J2:J36)</f>
        <v>2583.2600000000002</v>
      </c>
      <c r="AP2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3923.0127780000003</v>
      </c>
      <c r="AQ274" s="3" cm="1">
        <f t="array" aca="1" ref="AQ274" ca="1">OFFSET(Table7[[#This Row],[Investment Increase]],0,-1)-SUM($J$2:$J$36*($E$2:$E$36=$Q$31))</f>
        <v>484.01277800000025</v>
      </c>
    </row>
    <row r="275" spans="22:43" x14ac:dyDescent="0.45">
      <c r="V275" s="9">
        <v>44350</v>
      </c>
      <c r="W275" s="3">
        <v>171.36</v>
      </c>
      <c r="X275" s="2" cm="1">
        <f t="array" ref="X275">SUM($F$2:$F$36*($C$2:$C$36=$Q$2))</f>
        <v>1.94</v>
      </c>
      <c r="Y275" s="3">
        <f t="shared" si="24"/>
        <v>332.4384</v>
      </c>
      <c r="Z275" s="3">
        <v>173.03</v>
      </c>
      <c r="AA275" s="2" cm="1">
        <f t="array" ref="AA275">SUM($F$2:$F$36*($C$2:$C$36=$Q$3))</f>
        <v>3.4411</v>
      </c>
      <c r="AB275" s="3">
        <f t="shared" si="25"/>
        <v>595.41353300000003</v>
      </c>
      <c r="AC275" s="3">
        <v>18.82</v>
      </c>
      <c r="AD275" s="2" cm="1">
        <f t="array" ref="AD275">SUM($F$2:$F$36*($C$2:$C$36=$Q$4))</f>
        <v>7.5680000000000005</v>
      </c>
      <c r="AE275" s="3">
        <f t="shared" si="26"/>
        <v>142.42976000000002</v>
      </c>
      <c r="AF275" s="3">
        <v>14.91</v>
      </c>
      <c r="AG275" s="2" cm="1">
        <f t="array" ref="AG275">SUM($F$2:$F$36*($C$2:$C$36=$Q$5))</f>
        <v>16.84</v>
      </c>
      <c r="AH275" s="3">
        <f t="shared" si="27"/>
        <v>251.08439999999999</v>
      </c>
      <c r="AI275" s="3">
        <v>21.82</v>
      </c>
      <c r="AJ275" s="2" cm="1">
        <f t="array" ref="AJ275">SUM($F$2:$F$36*($C$2:$C$36=$Q$6))</f>
        <v>0</v>
      </c>
      <c r="AK275" s="3">
        <f t="shared" si="28"/>
        <v>0</v>
      </c>
      <c r="AL275" s="3">
        <v>16.73</v>
      </c>
      <c r="AM275" s="2" cm="1">
        <f t="array" ref="AM275">SUM($F$2:$F$36*($C$2:$C$36=$Q$8))</f>
        <v>0</v>
      </c>
      <c r="AN275" s="3">
        <f t="shared" si="29"/>
        <v>0</v>
      </c>
      <c r="AO275" s="3">
        <f>SUM(J2:J36)</f>
        <v>2583.2600000000002</v>
      </c>
      <c r="AP2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3904.6260930000003</v>
      </c>
      <c r="AQ275" s="3" cm="1">
        <f t="array" aca="1" ref="AQ275" ca="1">OFFSET(Table7[[#This Row],[Investment Increase]],0,-1)-SUM($J$2:$J$36*($E$2:$E$36=$Q$31))</f>
        <v>465.62609300000031</v>
      </c>
    </row>
    <row r="276" spans="22:43" x14ac:dyDescent="0.45">
      <c r="V276" s="9">
        <v>44349</v>
      </c>
      <c r="W276" s="3">
        <v>173.13</v>
      </c>
      <c r="X276" s="2" cm="1">
        <f t="array" ref="X276">SUM($F$2:$F$36*($C$2:$C$36=$Q$2))</f>
        <v>1.94</v>
      </c>
      <c r="Y276" s="3">
        <f t="shared" si="24"/>
        <v>335.87219999999996</v>
      </c>
      <c r="Z276" s="3">
        <v>175.29</v>
      </c>
      <c r="AA276" s="2" cm="1">
        <f t="array" ref="AA276">SUM($F$2:$F$36*($C$2:$C$36=$Q$3))</f>
        <v>3.4411</v>
      </c>
      <c r="AB276" s="3">
        <f t="shared" si="25"/>
        <v>603.19041900000002</v>
      </c>
      <c r="AC276" s="3">
        <v>18.989999999999998</v>
      </c>
      <c r="AD276" s="2" cm="1">
        <f t="array" ref="AD276">SUM($F$2:$F$36*($C$2:$C$36=$Q$4))</f>
        <v>7.5680000000000005</v>
      </c>
      <c r="AE276" s="3">
        <f t="shared" si="26"/>
        <v>143.71632</v>
      </c>
      <c r="AF276" s="3">
        <v>14.97</v>
      </c>
      <c r="AG276" s="2" cm="1">
        <f t="array" ref="AG276">SUM($F$2:$F$36*($C$2:$C$36=$Q$5))</f>
        <v>16.84</v>
      </c>
      <c r="AH276" s="3">
        <f t="shared" si="27"/>
        <v>252.09480000000002</v>
      </c>
      <c r="AI276" s="3">
        <v>21.9</v>
      </c>
      <c r="AJ276" s="2" cm="1">
        <f t="array" ref="AJ276">SUM($F$2:$F$36*($C$2:$C$36=$Q$6))</f>
        <v>0</v>
      </c>
      <c r="AK276" s="3">
        <f t="shared" si="28"/>
        <v>0</v>
      </c>
      <c r="AL276" s="3">
        <v>16.899999999999999</v>
      </c>
      <c r="AM276" s="2" cm="1">
        <f t="array" ref="AM276">SUM($F$2:$F$36*($C$2:$C$36=$Q$8))</f>
        <v>0</v>
      </c>
      <c r="AN276" s="3">
        <f t="shared" si="29"/>
        <v>0</v>
      </c>
      <c r="AO276" s="3">
        <f>SUM(J2:J36)</f>
        <v>2583.2600000000002</v>
      </c>
      <c r="AP2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3918.1337390000003</v>
      </c>
      <c r="AQ276" s="3" cm="1">
        <f t="array" aca="1" ref="AQ276" ca="1">OFFSET(Table7[[#This Row],[Investment Increase]],0,-1)-SUM($J$2:$J$36*($E$2:$E$36=$Q$31))</f>
        <v>479.13373900000033</v>
      </c>
    </row>
    <row r="277" spans="22:43" x14ac:dyDescent="0.45">
      <c r="V277" s="9">
        <v>44348</v>
      </c>
      <c r="W277" s="3">
        <v>172.88</v>
      </c>
      <c r="X277" s="2" cm="1">
        <f t="array" ref="X277">SUM($F$2:$F$36*($C$2:$C$36=$Q$2))</f>
        <v>1.94</v>
      </c>
      <c r="Y277" s="3">
        <f t="shared" si="24"/>
        <v>335.38720000000001</v>
      </c>
      <c r="Z277" s="3">
        <v>175.34</v>
      </c>
      <c r="AA277" s="2" cm="1">
        <f t="array" ref="AA277">SUM($F$2:$F$36*($C$2:$C$36=$Q$3))</f>
        <v>3.4411</v>
      </c>
      <c r="AB277" s="3">
        <f t="shared" si="25"/>
        <v>603.36247400000002</v>
      </c>
      <c r="AC277" s="3">
        <v>18.98</v>
      </c>
      <c r="AD277" s="2" cm="1">
        <f t="array" ref="AD277">SUM($F$2:$F$36*($C$2:$C$36=$Q$4))</f>
        <v>7.5680000000000005</v>
      </c>
      <c r="AE277" s="3">
        <f t="shared" si="26"/>
        <v>143.64064000000002</v>
      </c>
      <c r="AF277" s="3">
        <v>14.95</v>
      </c>
      <c r="AG277" s="2" cm="1">
        <f t="array" ref="AG277">SUM($F$2:$F$36*($C$2:$C$36=$Q$5))</f>
        <v>16.84</v>
      </c>
      <c r="AH277" s="3">
        <f t="shared" si="27"/>
        <v>251.75799999999998</v>
      </c>
      <c r="AI277" s="3">
        <v>21.87</v>
      </c>
      <c r="AJ277" s="2" cm="1">
        <f t="array" ref="AJ277">SUM($F$2:$F$36*($C$2:$C$36=$Q$6))</f>
        <v>0</v>
      </c>
      <c r="AK277" s="3">
        <f t="shared" si="28"/>
        <v>0</v>
      </c>
      <c r="AL277" s="3">
        <v>16.82</v>
      </c>
      <c r="AM277" s="2" cm="1">
        <f t="array" ref="AM277">SUM($F$2:$F$36*($C$2:$C$36=$Q$8))</f>
        <v>0</v>
      </c>
      <c r="AN277" s="3">
        <f t="shared" si="29"/>
        <v>0</v>
      </c>
      <c r="AO277" s="3">
        <f>SUM(J2:J36)</f>
        <v>2583.2600000000002</v>
      </c>
      <c r="AP2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3917.4083140000002</v>
      </c>
      <c r="AQ277" s="3" cm="1">
        <f t="array" aca="1" ref="AQ277" ca="1">OFFSET(Table7[[#This Row],[Investment Increase]],0,-1)-SUM($J$2:$J$36*($E$2:$E$36=$Q$31))</f>
        <v>478.40831400000025</v>
      </c>
    </row>
    <row r="278" spans="22:43" x14ac:dyDescent="0.45">
      <c r="V278" s="9">
        <v>44344</v>
      </c>
      <c r="W278" s="3">
        <v>173.02</v>
      </c>
      <c r="X278" s="2" cm="1">
        <f t="array" ref="X278">SUM($F$2:$F$36*($C$2:$C$36=$Q$2))</f>
        <v>1.94</v>
      </c>
      <c r="Y278" s="3">
        <f t="shared" si="24"/>
        <v>335.65879999999999</v>
      </c>
      <c r="Z278" s="3">
        <v>175.09</v>
      </c>
      <c r="AA278" s="2" cm="1">
        <f t="array" ref="AA278">SUM($F$2:$F$36*($C$2:$C$36=$Q$3))</f>
        <v>3.4411</v>
      </c>
      <c r="AB278" s="3">
        <f t="shared" si="25"/>
        <v>602.50219900000002</v>
      </c>
      <c r="AC278" s="3">
        <v>18.98</v>
      </c>
      <c r="AD278" s="2" cm="1">
        <f t="array" ref="AD278">SUM($F$2:$F$36*($C$2:$C$36=$Q$4))</f>
        <v>7.5680000000000005</v>
      </c>
      <c r="AE278" s="3">
        <f t="shared" si="26"/>
        <v>143.64064000000002</v>
      </c>
      <c r="AF278" s="3">
        <v>14.97</v>
      </c>
      <c r="AG278" s="2" cm="1">
        <f t="array" ref="AG278">SUM($F$2:$F$36*($C$2:$C$36=$Q$5))</f>
        <v>16.84</v>
      </c>
      <c r="AH278" s="3">
        <f t="shared" si="27"/>
        <v>252.09480000000002</v>
      </c>
      <c r="AI278" s="3">
        <v>21.83</v>
      </c>
      <c r="AJ278" s="2" cm="1">
        <f t="array" ref="AJ278">SUM($F$2:$F$36*($C$2:$C$36=$Q$6))</f>
        <v>0</v>
      </c>
      <c r="AK278" s="3">
        <f t="shared" si="28"/>
        <v>0</v>
      </c>
      <c r="AL278" s="3">
        <v>16.46</v>
      </c>
      <c r="AM278" s="2" cm="1">
        <f t="array" ref="AM278">SUM($F$2:$F$36*($C$2:$C$36=$Q$8))</f>
        <v>0</v>
      </c>
      <c r="AN278" s="3">
        <f t="shared" si="29"/>
        <v>0</v>
      </c>
      <c r="AO278" s="3">
        <f>SUM(J2:J36)</f>
        <v>2583.2600000000002</v>
      </c>
      <c r="AP2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3917.1564390000003</v>
      </c>
      <c r="AQ278" s="3" cm="1">
        <f t="array" aca="1" ref="AQ278" ca="1">OFFSET(Table7[[#This Row],[Investment Increase]],0,-1)-SUM($J$2:$J$36*($E$2:$E$36=$Q$31))</f>
        <v>478.15643900000032</v>
      </c>
    </row>
    <row r="279" spans="22:43" x14ac:dyDescent="0.45">
      <c r="V279" s="9">
        <v>44343</v>
      </c>
      <c r="W279" s="3">
        <v>172.87</v>
      </c>
      <c r="X279" s="2" cm="1">
        <f t="array" ref="X279">SUM($F$2:$F$35*($C$2:$C$35=$Q$2))</f>
        <v>1.94</v>
      </c>
      <c r="Y279" s="3">
        <f t="shared" si="24"/>
        <v>335.36779999999999</v>
      </c>
      <c r="Z279" s="3">
        <v>174.73</v>
      </c>
      <c r="AA279" s="2" cm="1">
        <f t="array" ref="AA279">SUM($F$2:$F$35*($C$2:$C$35=$Q$3))</f>
        <v>3.4411</v>
      </c>
      <c r="AB279" s="3">
        <f t="shared" si="25"/>
        <v>601.26340299999993</v>
      </c>
      <c r="AC279" s="3">
        <v>18.940000000000001</v>
      </c>
      <c r="AD279" s="2" cm="1">
        <f t="array" ref="AD279">SUM($F$2:$F$35*($C$2:$C$35=$Q$4))</f>
        <v>7.5680000000000005</v>
      </c>
      <c r="AE279" s="3">
        <f t="shared" si="26"/>
        <v>143.33792000000003</v>
      </c>
      <c r="AF279" s="3">
        <v>14.95</v>
      </c>
      <c r="AG279" s="2" cm="1">
        <f t="array" ref="AG279">SUM($F$2:$F$35*($C$2:$C$35=$Q$5))</f>
        <v>16.84</v>
      </c>
      <c r="AH279" s="3">
        <f t="shared" si="27"/>
        <v>251.75799999999998</v>
      </c>
      <c r="AI279" s="3">
        <v>21.82</v>
      </c>
      <c r="AJ279" s="2" cm="1">
        <f t="array" ref="AJ279">SUM($F$2:$F$35*($C$2:$C$35=$Q$6))</f>
        <v>0</v>
      </c>
      <c r="AK279" s="3">
        <f t="shared" si="28"/>
        <v>0</v>
      </c>
      <c r="AL279" s="3">
        <v>16.420000000000002</v>
      </c>
      <c r="AM279" s="2" cm="1">
        <f t="array" ref="AM279">SUM($F$2:$F$35*($C$2:$C$35=$Q$8))</f>
        <v>0</v>
      </c>
      <c r="AN279" s="3">
        <f t="shared" si="29"/>
        <v>0</v>
      </c>
      <c r="AO279" s="3">
        <f>SUM(J2:J35)</f>
        <v>2583.25</v>
      </c>
      <c r="AP2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3914.9771229999997</v>
      </c>
      <c r="AQ279" s="3" cm="1">
        <f t="array" aca="1" ref="AQ279" ca="1">OFFSET(Table7[[#This Row],[Investment Increase]],0,-1)-SUM($J$2:$J$35*($E$2:$E$35=$Q$31))</f>
        <v>475.97712299999966</v>
      </c>
    </row>
    <row r="280" spans="22:43" x14ac:dyDescent="0.45">
      <c r="V280" s="9">
        <v>44342</v>
      </c>
      <c r="W280" s="3">
        <v>172.89</v>
      </c>
      <c r="X280" s="2" cm="1">
        <f t="array" ref="X280">SUM($F$2:$F$35*($C$2:$C$35=$Q$2))</f>
        <v>1.94</v>
      </c>
      <c r="Y280" s="3">
        <f t="shared" si="24"/>
        <v>335.40659999999997</v>
      </c>
      <c r="Z280" s="3">
        <v>174.45</v>
      </c>
      <c r="AA280" s="2" cm="1">
        <f t="array" ref="AA280">SUM($F$2:$F$35*($C$2:$C$35=$Q$3))</f>
        <v>3.4411</v>
      </c>
      <c r="AB280" s="3">
        <f t="shared" si="25"/>
        <v>600.29989499999999</v>
      </c>
      <c r="AC280" s="3">
        <v>18.98</v>
      </c>
      <c r="AD280" s="2" cm="1">
        <f t="array" ref="AD280">SUM($F$2:$F$35*($C$2:$C$35=$Q$4))</f>
        <v>7.5680000000000005</v>
      </c>
      <c r="AE280" s="3">
        <f t="shared" si="26"/>
        <v>143.64064000000002</v>
      </c>
      <c r="AF280" s="3">
        <v>14.93</v>
      </c>
      <c r="AG280" s="2" cm="1">
        <f t="array" ref="AG280">SUM($F$2:$F$35*($C$2:$C$35=$Q$5))</f>
        <v>16.84</v>
      </c>
      <c r="AH280" s="3">
        <f t="shared" si="27"/>
        <v>251.4212</v>
      </c>
      <c r="AI280" s="3">
        <v>21.78</v>
      </c>
      <c r="AJ280" s="2" cm="1">
        <f t="array" ref="AJ280">SUM($F$2:$F$35*($C$2:$C$35=$Q$6))</f>
        <v>0</v>
      </c>
      <c r="AK280" s="3">
        <f t="shared" si="28"/>
        <v>0</v>
      </c>
      <c r="AL280" s="3">
        <v>16.25</v>
      </c>
      <c r="AM280" s="2" cm="1">
        <f t="array" ref="AM280">SUM($F$2:$F$35*($C$2:$C$35=$Q$8))</f>
        <v>0</v>
      </c>
      <c r="AN280" s="3">
        <f t="shared" si="29"/>
        <v>0</v>
      </c>
      <c r="AO280" s="3">
        <f>SUM(J2:J35)</f>
        <v>2583.25</v>
      </c>
      <c r="AP2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3914.0183349999998</v>
      </c>
      <c r="AQ280" s="3" cm="1">
        <f t="array" aca="1" ref="AQ280" ca="1">OFFSET(Table7[[#This Row],[Investment Increase]],0,-1)-SUM($J$2:$J$35*($E$2:$E$35=$Q$31))</f>
        <v>475.01833499999975</v>
      </c>
    </row>
    <row r="281" spans="22:43" x14ac:dyDescent="0.45">
      <c r="V281" s="9">
        <v>44341</v>
      </c>
      <c r="W281" s="3">
        <v>171.87</v>
      </c>
      <c r="X281" s="2" cm="1">
        <f t="array" ref="X281">SUM($F$2:$F$35*($C$2:$C$35=$Q$2))</f>
        <v>1.94</v>
      </c>
      <c r="Y281" s="3">
        <f t="shared" si="24"/>
        <v>333.42779999999999</v>
      </c>
      <c r="Z281" s="3">
        <v>173.03</v>
      </c>
      <c r="AA281" s="2" cm="1">
        <f t="array" ref="AA281">SUM($F$2:$F$35*($C$2:$C$35=$Q$3))</f>
        <v>3.4411</v>
      </c>
      <c r="AB281" s="3">
        <f t="shared" si="25"/>
        <v>595.41353300000003</v>
      </c>
      <c r="AC281" s="3">
        <v>18.899999999999999</v>
      </c>
      <c r="AD281" s="2" cm="1">
        <f t="array" ref="AD281">SUM($F$2:$F$35*($C$2:$C$35=$Q$4))</f>
        <v>7.5680000000000005</v>
      </c>
      <c r="AE281" s="3">
        <f t="shared" si="26"/>
        <v>143.0352</v>
      </c>
      <c r="AF281" s="3">
        <v>14.9</v>
      </c>
      <c r="AG281" s="2" cm="1">
        <f t="array" ref="AG281">SUM($F$2:$F$35*($C$2:$C$35=$Q$5))</f>
        <v>16.84</v>
      </c>
      <c r="AH281" s="3">
        <f t="shared" si="27"/>
        <v>250.916</v>
      </c>
      <c r="AI281" s="3">
        <v>21.71</v>
      </c>
      <c r="AJ281" s="2" cm="1">
        <f t="array" ref="AJ281">SUM($F$2:$F$35*($C$2:$C$35=$Q$6))</f>
        <v>0</v>
      </c>
      <c r="AK281" s="3">
        <f t="shared" si="28"/>
        <v>0</v>
      </c>
      <c r="AL281" s="3">
        <v>16.16</v>
      </c>
      <c r="AM281" s="2" cm="1">
        <f t="array" ref="AM281">SUM($F$2:$F$35*($C$2:$C$35=$Q$8))</f>
        <v>0</v>
      </c>
      <c r="AN281" s="3">
        <f t="shared" si="29"/>
        <v>0</v>
      </c>
      <c r="AO281" s="3">
        <f>SUM(J2:J35)</f>
        <v>2583.25</v>
      </c>
      <c r="AP2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3906.0425329999998</v>
      </c>
      <c r="AQ281" s="3" cm="1">
        <f t="array" aca="1" ref="AQ281" ca="1">OFFSET(Table7[[#This Row],[Investment Increase]],0,-1)-SUM($J$2:$J$35*($E$2:$E$35=$Q$31))</f>
        <v>467.04253299999982</v>
      </c>
    </row>
    <row r="282" spans="22:43" x14ac:dyDescent="0.45">
      <c r="V282" s="9">
        <v>44340</v>
      </c>
      <c r="W282" s="3">
        <v>171.92</v>
      </c>
      <c r="X282" s="2" cm="1">
        <f t="array" ref="X282">SUM($F$2:$F$35*($C$2:$C$35=$Q$2))</f>
        <v>1.94</v>
      </c>
      <c r="Y282" s="3">
        <f t="shared" si="24"/>
        <v>333.52479999999997</v>
      </c>
      <c r="Z282" s="3">
        <v>172.57</v>
      </c>
      <c r="AA282" s="2" cm="1">
        <f t="array" ref="AA282">SUM($F$2:$F$35*($C$2:$C$35=$Q$3))</f>
        <v>3.4411</v>
      </c>
      <c r="AB282" s="3">
        <f t="shared" si="25"/>
        <v>593.83062699999994</v>
      </c>
      <c r="AC282" s="3">
        <v>18.850000000000001</v>
      </c>
      <c r="AD282" s="2" cm="1">
        <f t="array" ref="AD282">SUM($F$2:$F$35*($C$2:$C$35=$Q$4))</f>
        <v>7.5680000000000005</v>
      </c>
      <c r="AE282" s="3">
        <f t="shared" si="26"/>
        <v>142.65680000000003</v>
      </c>
      <c r="AF282" s="3">
        <v>14.92</v>
      </c>
      <c r="AG282" s="2" cm="1">
        <f t="array" ref="AG282">SUM($F$2:$F$35*($C$2:$C$35=$Q$5))</f>
        <v>16.84</v>
      </c>
      <c r="AH282" s="3">
        <f t="shared" si="27"/>
        <v>251.25280000000001</v>
      </c>
      <c r="AI282" s="3">
        <v>21.77</v>
      </c>
      <c r="AJ282" s="2" cm="1">
        <f t="array" ref="AJ282">SUM($F$2:$F$35*($C$2:$C$35=$Q$6))</f>
        <v>0</v>
      </c>
      <c r="AK282" s="3">
        <f t="shared" si="28"/>
        <v>0</v>
      </c>
      <c r="AL282" s="3">
        <v>16.36</v>
      </c>
      <c r="AM282" s="2" cm="1">
        <f t="array" ref="AM282">SUM($F$2:$F$35*($C$2:$C$35=$Q$8))</f>
        <v>0</v>
      </c>
      <c r="AN282" s="3">
        <f t="shared" si="29"/>
        <v>0</v>
      </c>
      <c r="AO282" s="3">
        <f>SUM(J2:J35)</f>
        <v>2583.25</v>
      </c>
      <c r="AP2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3904.5150269999999</v>
      </c>
      <c r="AQ282" s="3" cm="1">
        <f t="array" aca="1" ref="AQ282" ca="1">OFFSET(Table7[[#This Row],[Investment Increase]],0,-1)-SUM($J$2:$J$35*($E$2:$E$35=$Q$31))</f>
        <v>465.51502699999992</v>
      </c>
    </row>
    <row r="283" spans="22:43" x14ac:dyDescent="0.45">
      <c r="V283" s="9">
        <v>44337</v>
      </c>
      <c r="W283" s="3">
        <v>169.52</v>
      </c>
      <c r="X283" s="2" cm="1">
        <f t="array" ref="X283">SUM($F$2:$F$35*($C$2:$C$35=$Q$2))</f>
        <v>1.94</v>
      </c>
      <c r="Y283" s="3">
        <f t="shared" si="24"/>
        <v>328.86880000000002</v>
      </c>
      <c r="Z283" s="3">
        <v>169.58</v>
      </c>
      <c r="AA283" s="2" cm="1">
        <f t="array" ref="AA283">SUM($F$2:$F$35*($C$2:$C$35=$Q$3))</f>
        <v>3.4411</v>
      </c>
      <c r="AB283" s="3">
        <f t="shared" si="25"/>
        <v>583.54173800000001</v>
      </c>
      <c r="AC283" s="3">
        <v>18.510000000000002</v>
      </c>
      <c r="AD283" s="2" cm="1">
        <f t="array" ref="AD283">SUM($F$2:$F$35*($C$2:$C$35=$Q$4))</f>
        <v>7.5680000000000005</v>
      </c>
      <c r="AE283" s="3">
        <f t="shared" si="26"/>
        <v>140.08368000000002</v>
      </c>
      <c r="AF283" s="3">
        <v>14.77</v>
      </c>
      <c r="AG283" s="2" cm="1">
        <f t="array" ref="AG283">SUM($F$2:$F$35*($C$2:$C$35=$Q$5))</f>
        <v>16.84</v>
      </c>
      <c r="AH283" s="3">
        <f t="shared" si="27"/>
        <v>248.7268</v>
      </c>
      <c r="AI283" s="3">
        <v>21.55</v>
      </c>
      <c r="AJ283" s="2" cm="1">
        <f t="array" ref="AJ283">SUM($F$2:$F$35*($C$2:$C$35=$Q$6))</f>
        <v>0</v>
      </c>
      <c r="AK283" s="3">
        <f t="shared" si="28"/>
        <v>0</v>
      </c>
      <c r="AL283" s="3">
        <v>16.29</v>
      </c>
      <c r="AM283" s="2" cm="1">
        <f t="array" ref="AM283">SUM($F$2:$F$35*($C$2:$C$35=$Q$8))</f>
        <v>0</v>
      </c>
      <c r="AN283" s="3">
        <f t="shared" si="29"/>
        <v>0</v>
      </c>
      <c r="AO283" s="3">
        <f>SUM(J2:J35)</f>
        <v>2583.25</v>
      </c>
      <c r="AP2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3884.4710180000002</v>
      </c>
      <c r="AQ283" s="3" cm="1">
        <f t="array" aca="1" ref="AQ283" ca="1">OFFSET(Table7[[#This Row],[Investment Increase]],0,-1)-SUM($J$2:$J$35*($E$2:$E$35=$Q$31))</f>
        <v>445.47101800000019</v>
      </c>
    </row>
    <row r="284" spans="22:43" x14ac:dyDescent="0.45">
      <c r="V284" s="9">
        <v>44336</v>
      </c>
      <c r="W284" s="3">
        <v>170.33</v>
      </c>
      <c r="X284" s="2" cm="1">
        <f t="array" ref="X284">SUM($F$2:$F$35*($C$2:$C$35=$Q$2))</f>
        <v>1.94</v>
      </c>
      <c r="Y284" s="3">
        <f t="shared" si="24"/>
        <v>330.4402</v>
      </c>
      <c r="Z284" s="3">
        <v>170.3</v>
      </c>
      <c r="AA284" s="2" cm="1">
        <f t="array" ref="AA284">SUM($F$2:$F$35*($C$2:$C$35=$Q$3))</f>
        <v>3.4411</v>
      </c>
      <c r="AB284" s="3">
        <f t="shared" si="25"/>
        <v>586.01933000000008</v>
      </c>
      <c r="AC284" s="3">
        <v>18.61</v>
      </c>
      <c r="AD284" s="2" cm="1">
        <f t="array" ref="AD284">SUM($F$2:$F$35*($C$2:$C$35=$Q$4))</f>
        <v>7.5680000000000005</v>
      </c>
      <c r="AE284" s="3">
        <f t="shared" si="26"/>
        <v>140.84048000000001</v>
      </c>
      <c r="AF284" s="3">
        <v>14.78</v>
      </c>
      <c r="AG284" s="2" cm="1">
        <f t="array" ref="AG284">SUM($F$2:$F$35*($C$2:$C$35=$Q$5))</f>
        <v>16.84</v>
      </c>
      <c r="AH284" s="3">
        <f t="shared" si="27"/>
        <v>248.89519999999999</v>
      </c>
      <c r="AI284" s="3">
        <v>21.57</v>
      </c>
      <c r="AJ284" s="2" cm="1">
        <f t="array" ref="AJ284">SUM($F$2:$F$35*($C$2:$C$35=$Q$6))</f>
        <v>0</v>
      </c>
      <c r="AK284" s="3">
        <f t="shared" si="28"/>
        <v>0</v>
      </c>
      <c r="AL284" s="3">
        <v>16.350000000000001</v>
      </c>
      <c r="AM284" s="2" cm="1">
        <f t="array" ref="AM284">SUM($F$2:$F$35*($C$2:$C$35=$Q$8))</f>
        <v>0</v>
      </c>
      <c r="AN284" s="3">
        <f t="shared" si="29"/>
        <v>0</v>
      </c>
      <c r="AO284" s="3">
        <f>SUM(J2:J35)</f>
        <v>2583.25</v>
      </c>
      <c r="AP2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3889.4452099999999</v>
      </c>
      <c r="AQ284" s="3" cm="1">
        <f t="array" aca="1" ref="AQ284" ca="1">OFFSET(Table7[[#This Row],[Investment Increase]],0,-1)-SUM($J$2:$J$35*($E$2:$E$35=$Q$31))</f>
        <v>450.44520999999986</v>
      </c>
    </row>
    <row r="285" spans="22:43" x14ac:dyDescent="0.45">
      <c r="V285" s="9">
        <v>44335</v>
      </c>
      <c r="W285" s="3">
        <v>167.36</v>
      </c>
      <c r="X285" s="2" cm="1">
        <f t="array" ref="X285">SUM($F$2:$F$35*($C$2:$C$35=$Q$2))</f>
        <v>1.94</v>
      </c>
      <c r="Y285" s="3">
        <f t="shared" si="24"/>
        <v>324.67840000000001</v>
      </c>
      <c r="Z285" s="3">
        <v>167.41</v>
      </c>
      <c r="AA285" s="2" cm="1">
        <f t="array" ref="AA285">SUM($F$2:$F$35*($C$2:$C$35=$Q$3))</f>
        <v>3.4411</v>
      </c>
      <c r="AB285" s="3">
        <f t="shared" si="25"/>
        <v>576.07455100000004</v>
      </c>
      <c r="AC285" s="3">
        <v>18.29</v>
      </c>
      <c r="AD285" s="2" cm="1">
        <f t="array" ref="AD285">SUM($F$2:$F$35*($C$2:$C$35=$Q$4))</f>
        <v>7.5680000000000005</v>
      </c>
      <c r="AE285" s="3">
        <f t="shared" si="26"/>
        <v>138.41872000000001</v>
      </c>
      <c r="AF285" s="3">
        <v>14.61</v>
      </c>
      <c r="AG285" s="2" cm="1">
        <f t="array" ref="AG285">SUM($F$2:$F$35*($C$2:$C$35=$Q$5))</f>
        <v>16.84</v>
      </c>
      <c r="AH285" s="3">
        <f t="shared" si="27"/>
        <v>246.0324</v>
      </c>
      <c r="AI285" s="3">
        <v>21.36</v>
      </c>
      <c r="AJ285" s="2" cm="1">
        <f t="array" ref="AJ285">SUM($F$2:$F$35*($C$2:$C$35=$Q$6))</f>
        <v>0</v>
      </c>
      <c r="AK285" s="3">
        <f t="shared" si="28"/>
        <v>0</v>
      </c>
      <c r="AL285" s="3">
        <v>16.32</v>
      </c>
      <c r="AM285" s="2" cm="1">
        <f t="array" ref="AM285">SUM($F$2:$F$35*($C$2:$C$35=$Q$8))</f>
        <v>0</v>
      </c>
      <c r="AN285" s="3">
        <f t="shared" si="29"/>
        <v>0</v>
      </c>
      <c r="AO285" s="3">
        <f>SUM(J2:J35)</f>
        <v>2583.25</v>
      </c>
      <c r="AP2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3868.4540710000001</v>
      </c>
      <c r="AQ285" s="3" cm="1">
        <f t="array" aca="1" ref="AQ285" ca="1">OFFSET(Table7[[#This Row],[Investment Increase]],0,-1)-SUM($J$2:$J$35*($E$2:$E$35=$Q$31))</f>
        <v>429.45407100000011</v>
      </c>
    </row>
    <row r="286" spans="22:43" x14ac:dyDescent="0.45">
      <c r="V286" s="9">
        <v>44334</v>
      </c>
      <c r="W286" s="3">
        <v>167.37</v>
      </c>
      <c r="X286" s="2" cm="1">
        <f t="array" ref="X286">SUM($F$2:$F$35*($C$2:$C$35=$Q$2))</f>
        <v>1.94</v>
      </c>
      <c r="Y286" s="3">
        <f t="shared" si="24"/>
        <v>324.69779999999997</v>
      </c>
      <c r="Z286" s="3">
        <v>167.56</v>
      </c>
      <c r="AA286" s="2" cm="1">
        <f t="array" ref="AA286">SUM($F$2:$F$35*($C$2:$C$35=$Q$3))</f>
        <v>3.4411</v>
      </c>
      <c r="AB286" s="3">
        <f t="shared" si="25"/>
        <v>576.59071600000004</v>
      </c>
      <c r="AC286" s="3">
        <v>18.260000000000002</v>
      </c>
      <c r="AD286" s="2" cm="1">
        <f t="array" ref="AD286">SUM($F$2:$F$35*($C$2:$C$35=$Q$4))</f>
        <v>7.5680000000000005</v>
      </c>
      <c r="AE286" s="3">
        <f t="shared" si="26"/>
        <v>138.19168000000002</v>
      </c>
      <c r="AF286" s="3">
        <v>14.64</v>
      </c>
      <c r="AG286" s="2" cm="1">
        <f t="array" ref="AG286">SUM($F$2:$F$35*($C$2:$C$35=$Q$5))</f>
        <v>16.84</v>
      </c>
      <c r="AH286" s="3">
        <f t="shared" si="27"/>
        <v>246.5376</v>
      </c>
      <c r="AI286" s="3">
        <v>21.44</v>
      </c>
      <c r="AJ286" s="2" cm="1">
        <f t="array" ref="AJ286">SUM($F$2:$F$35*($C$2:$C$35=$Q$6))</f>
        <v>0</v>
      </c>
      <c r="AK286" s="3">
        <f t="shared" si="28"/>
        <v>0</v>
      </c>
      <c r="AL286" s="3">
        <v>16.829999999999998</v>
      </c>
      <c r="AM286" s="2" cm="1">
        <f t="array" ref="AM286">SUM($F$2:$F$35*($C$2:$C$35=$Q$8))</f>
        <v>0</v>
      </c>
      <c r="AN286" s="3">
        <f t="shared" si="29"/>
        <v>0</v>
      </c>
      <c r="AO286" s="3">
        <f>SUM(J2:J35)</f>
        <v>2583.25</v>
      </c>
      <c r="AP2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3869.2677960000001</v>
      </c>
      <c r="AQ286" s="3" cm="1">
        <f t="array" aca="1" ref="AQ286" ca="1">OFFSET(Table7[[#This Row],[Investment Increase]],0,-1)-SUM($J$2:$J$35*($E$2:$E$35=$Q$31))</f>
        <v>430.26779600000009</v>
      </c>
    </row>
    <row r="287" spans="22:43" x14ac:dyDescent="0.45">
      <c r="V287" s="9">
        <v>44333</v>
      </c>
      <c r="W287" s="3">
        <v>168.32</v>
      </c>
      <c r="X287" s="2" cm="1">
        <f t="array" ref="X287">SUM($F$2:$F$35*($C$2:$C$35=$Q$2))</f>
        <v>1.94</v>
      </c>
      <c r="Y287" s="3">
        <f t="shared" si="24"/>
        <v>326.54079999999999</v>
      </c>
      <c r="Z287" s="3">
        <v>168.25</v>
      </c>
      <c r="AA287" s="2" cm="1">
        <f t="array" ref="AA287">SUM($F$2:$F$35*($C$2:$C$35=$Q$3))</f>
        <v>3.4411</v>
      </c>
      <c r="AB287" s="3">
        <f t="shared" si="25"/>
        <v>578.96507499999996</v>
      </c>
      <c r="AC287" s="3">
        <v>18.36</v>
      </c>
      <c r="AD287" s="2" cm="1">
        <f t="array" ref="AD287">SUM($F$2:$F$35*($C$2:$C$35=$Q$4))</f>
        <v>7.5680000000000005</v>
      </c>
      <c r="AE287" s="3">
        <f t="shared" si="26"/>
        <v>138.94848000000002</v>
      </c>
      <c r="AF287" s="3">
        <v>14.75</v>
      </c>
      <c r="AG287" s="2" cm="1">
        <f t="array" ref="AG287">SUM($F$2:$F$35*($C$2:$C$35=$Q$5))</f>
        <v>16.84</v>
      </c>
      <c r="AH287" s="3">
        <f t="shared" si="27"/>
        <v>248.39</v>
      </c>
      <c r="AI287" s="3">
        <v>21.64</v>
      </c>
      <c r="AJ287" s="2" cm="1">
        <f t="array" ref="AJ287">SUM($F$2:$F$35*($C$2:$C$35=$Q$6))</f>
        <v>0</v>
      </c>
      <c r="AK287" s="3">
        <f t="shared" si="28"/>
        <v>0</v>
      </c>
      <c r="AL287" s="3">
        <v>16.95</v>
      </c>
      <c r="AM287" s="2" cm="1">
        <f t="array" ref="AM287">SUM($F$2:$F$35*($C$2:$C$35=$Q$8))</f>
        <v>0</v>
      </c>
      <c r="AN287" s="3">
        <f t="shared" si="29"/>
        <v>0</v>
      </c>
      <c r="AO287" s="3">
        <f>SUM(J2:J35)</f>
        <v>2583.25</v>
      </c>
      <c r="AP2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3876.0943549999997</v>
      </c>
      <c r="AQ287" s="3" cm="1">
        <f t="array" aca="1" ref="AQ287" ca="1">OFFSET(Table7[[#This Row],[Investment Increase]],0,-1)-SUM($J$2:$J$35*($E$2:$E$35=$Q$31))</f>
        <v>437.09435499999972</v>
      </c>
    </row>
    <row r="288" spans="22:43" x14ac:dyDescent="0.45">
      <c r="V288" s="9">
        <v>44330</v>
      </c>
      <c r="W288" s="3">
        <v>168.96</v>
      </c>
      <c r="X288" s="2" cm="1">
        <f t="array" ref="X288">SUM($F$2:$F$32*($C$2:$C$32=$Q$2))</f>
        <v>5.0419999999999998</v>
      </c>
      <c r="Y288" s="3">
        <f t="shared" si="24"/>
        <v>851.89632000000006</v>
      </c>
      <c r="Z288" s="3">
        <v>168.62</v>
      </c>
      <c r="AA288" s="2" cm="1">
        <f t="array" ref="AA288">SUM($F$2:$F$32*($C$2:$C$32=$Q$3))</f>
        <v>6.0331000000000001</v>
      </c>
      <c r="AB288" s="3">
        <f t="shared" si="25"/>
        <v>1017.301322</v>
      </c>
      <c r="AC288" s="3">
        <v>18.420000000000002</v>
      </c>
      <c r="AD288" s="2" cm="1">
        <f t="array" ref="AD288">SUM($F$2:$F$32*($C$2:$C$32=$Q$4))</f>
        <v>12.567</v>
      </c>
      <c r="AE288" s="3">
        <f t="shared" si="26"/>
        <v>231.48414000000002</v>
      </c>
      <c r="AF288" s="3">
        <v>14.8</v>
      </c>
      <c r="AG288" s="2" cm="1">
        <f t="array" ref="AG288">SUM($F$2:$F$32*($C$2:$C$32=$Q$5))</f>
        <v>16.84</v>
      </c>
      <c r="AH288" s="3">
        <f t="shared" si="27"/>
        <v>249.232</v>
      </c>
      <c r="AI288" s="3">
        <v>21.65</v>
      </c>
      <c r="AJ288" s="2" cm="1">
        <f t="array" ref="AJ288">SUM($F$2:$F$32*($C$2:$C$32=$Q$6))</f>
        <v>0</v>
      </c>
      <c r="AK288" s="3">
        <f t="shared" si="28"/>
        <v>0</v>
      </c>
      <c r="AL288" s="3">
        <v>16.77</v>
      </c>
      <c r="AM288" s="2" cm="1">
        <f t="array" ref="AM288">SUM($F$2:$F$32*($C$2:$C$32=$Q$8))</f>
        <v>0</v>
      </c>
      <c r="AN288" s="3">
        <f t="shared" si="29"/>
        <v>0</v>
      </c>
      <c r="AO288" s="3">
        <f>SUM(J2:J32)</f>
        <v>1513.2499999999998</v>
      </c>
      <c r="AP2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3863.1637819999996</v>
      </c>
      <c r="AQ288" s="3" cm="1">
        <f t="array" aca="1" ref="AQ288" ca="1">OFFSET(Table7[[#This Row],[Investment Increase]],0,-1)-SUM($J$2:$J$32*($E$2:$E$32=$Q$31))</f>
        <v>424.16378199999963</v>
      </c>
    </row>
    <row r="289" spans="22:43" x14ac:dyDescent="0.45">
      <c r="V289" s="9">
        <v>44329</v>
      </c>
      <c r="W289" s="3">
        <v>165.11</v>
      </c>
      <c r="X289" s="2" cm="1">
        <f t="array" ref="X289">SUM($F$2:$F$32*($C$2:$C$32=$Q$2))</f>
        <v>5.0419999999999998</v>
      </c>
      <c r="Y289" s="3">
        <f t="shared" si="24"/>
        <v>832.48462000000006</v>
      </c>
      <c r="Z289" s="3">
        <v>163.92</v>
      </c>
      <c r="AA289" s="2" cm="1">
        <f t="array" ref="AA289">SUM($F$2:$F$32*($C$2:$C$32=$Q$3))</f>
        <v>6.0331000000000001</v>
      </c>
      <c r="AB289" s="3">
        <f t="shared" si="25"/>
        <v>988.94575199999997</v>
      </c>
      <c r="AC289" s="3">
        <v>17.989999999999998</v>
      </c>
      <c r="AD289" s="2" cm="1">
        <f t="array" ref="AD289">SUM($F$2:$F$32*($C$2:$C$32=$Q$4))</f>
        <v>12.567</v>
      </c>
      <c r="AE289" s="3">
        <f t="shared" si="26"/>
        <v>226.08032999999998</v>
      </c>
      <c r="AF289" s="3">
        <v>14.57</v>
      </c>
      <c r="AG289" s="2" cm="1">
        <f t="array" ref="AG289">SUM($F$2:$F$32*($C$2:$C$32=$Q$5))</f>
        <v>16.84</v>
      </c>
      <c r="AH289" s="3">
        <f t="shared" si="27"/>
        <v>245.3588</v>
      </c>
      <c r="AI289" s="3">
        <v>21.31</v>
      </c>
      <c r="AJ289" s="2" cm="1">
        <f t="array" ref="AJ289">SUM($F$2:$F$32*($C$2:$C$32=$Q$6))</f>
        <v>0</v>
      </c>
      <c r="AK289" s="3">
        <f t="shared" si="28"/>
        <v>0</v>
      </c>
      <c r="AL289" s="3">
        <v>16.59</v>
      </c>
      <c r="AM289" s="2" cm="1">
        <f t="array" ref="AM289">SUM($F$2:$F$32*($C$2:$C$32=$Q$8))</f>
        <v>0</v>
      </c>
      <c r="AN289" s="3">
        <f t="shared" si="29"/>
        <v>0</v>
      </c>
      <c r="AO289" s="3">
        <f>SUM(J2:J32)</f>
        <v>1513.2499999999998</v>
      </c>
      <c r="AP2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3806.1195019999996</v>
      </c>
      <c r="AQ289" s="3" cm="1">
        <f t="array" aca="1" ref="AQ289" ca="1">OFFSET(Table7[[#This Row],[Investment Increase]],0,-1)-SUM($J$2:$J$32*($E$2:$E$32=$Q$31))</f>
        <v>367.11950199999956</v>
      </c>
    </row>
    <row r="290" spans="22:43" x14ac:dyDescent="0.45">
      <c r="V290" s="9">
        <v>44328</v>
      </c>
      <c r="W290" s="3">
        <v>163.92</v>
      </c>
      <c r="X290" s="2" cm="1">
        <f t="array" ref="X290">SUM($F$2:$F$32*($C$2:$C$32=$Q$2))</f>
        <v>5.0419999999999998</v>
      </c>
      <c r="Y290" s="3">
        <f t="shared" si="24"/>
        <v>826.4846399999999</v>
      </c>
      <c r="Z290" s="3">
        <v>163.52000000000001</v>
      </c>
      <c r="AA290" s="2" cm="1">
        <f t="array" ref="AA290">SUM($F$2:$F$32*($C$2:$C$32=$Q$3))</f>
        <v>6.0331000000000001</v>
      </c>
      <c r="AB290" s="3">
        <f t="shared" si="25"/>
        <v>986.53251200000011</v>
      </c>
      <c r="AC290" s="3">
        <v>17.850000000000001</v>
      </c>
      <c r="AD290" s="2" cm="1">
        <f t="array" ref="AD290">SUM($F$2:$F$32*($C$2:$C$32=$Q$4))</f>
        <v>12.567</v>
      </c>
      <c r="AE290" s="3">
        <f t="shared" si="26"/>
        <v>224.32095000000001</v>
      </c>
      <c r="AF290" s="3">
        <v>14.4</v>
      </c>
      <c r="AG290" s="2" cm="1">
        <f t="array" ref="AG290">SUM($F$2:$F$32*($C$2:$C$32=$Q$5))</f>
        <v>16.84</v>
      </c>
      <c r="AH290" s="3">
        <f t="shared" si="27"/>
        <v>242.49600000000001</v>
      </c>
      <c r="AI290" s="3">
        <v>21.05</v>
      </c>
      <c r="AJ290" s="2" cm="1">
        <f t="array" ref="AJ290">SUM($F$2:$F$32*($C$2:$C$32=$Q$6))</f>
        <v>0</v>
      </c>
      <c r="AK290" s="3">
        <f t="shared" si="28"/>
        <v>0</v>
      </c>
      <c r="AL290" s="3">
        <v>16.690000000000001</v>
      </c>
      <c r="AM290" s="2" cm="1">
        <f t="array" ref="AM290">SUM($F$2:$F$32*($C$2:$C$32=$Q$8))</f>
        <v>0</v>
      </c>
      <c r="AN290" s="3">
        <f t="shared" si="29"/>
        <v>0</v>
      </c>
      <c r="AO290" s="3">
        <f>SUM(J2:J32)</f>
        <v>1513.2499999999998</v>
      </c>
      <c r="AP2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3793.0841019999998</v>
      </c>
      <c r="AQ290" s="3" cm="1">
        <f t="array" aca="1" ref="AQ290" ca="1">OFFSET(Table7[[#This Row],[Investment Increase]],0,-1)-SUM($J$2:$J$32*($E$2:$E$32=$Q$31))</f>
        <v>354.0841019999998</v>
      </c>
    </row>
    <row r="291" spans="22:43" x14ac:dyDescent="0.45">
      <c r="V291" s="9">
        <v>44327</v>
      </c>
      <c r="W291" s="3">
        <v>168.41</v>
      </c>
      <c r="X291" s="2" cm="1">
        <f t="array" ref="X291">SUM($F$2:$F$32*($C$2:$C$32=$Q$2))</f>
        <v>5.0419999999999998</v>
      </c>
      <c r="Y291" s="3">
        <f t="shared" si="24"/>
        <v>849.12321999999995</v>
      </c>
      <c r="Z291" s="3">
        <v>169.04</v>
      </c>
      <c r="AA291" s="2" cm="1">
        <f t="array" ref="AA291">SUM($F$2:$F$32*($C$2:$C$32=$Q$3))</f>
        <v>6.0331000000000001</v>
      </c>
      <c r="AB291" s="3">
        <f t="shared" si="25"/>
        <v>1019.8352239999999</v>
      </c>
      <c r="AC291" s="3">
        <v>18.37</v>
      </c>
      <c r="AD291" s="2" cm="1">
        <f t="array" ref="AD291">SUM($F$2:$F$32*($C$2:$C$32=$Q$4))</f>
        <v>12.567</v>
      </c>
      <c r="AE291" s="3">
        <f t="shared" si="26"/>
        <v>230.85579000000001</v>
      </c>
      <c r="AF291" s="3">
        <v>14.73</v>
      </c>
      <c r="AG291" s="2" cm="1">
        <f t="array" ref="AG291">SUM($F$2:$F$32*($C$2:$C$32=$Q$5))</f>
        <v>16.84</v>
      </c>
      <c r="AH291" s="3">
        <f t="shared" si="27"/>
        <v>248.0532</v>
      </c>
      <c r="AI291" s="3">
        <v>21.51</v>
      </c>
      <c r="AJ291" s="2" cm="1">
        <f t="array" ref="AJ291">SUM($F$2:$F$32*($C$2:$C$32=$Q$6))</f>
        <v>0</v>
      </c>
      <c r="AK291" s="3">
        <f t="shared" si="28"/>
        <v>0</v>
      </c>
      <c r="AL291" s="3">
        <v>16.96</v>
      </c>
      <c r="AM291" s="2" cm="1">
        <f t="array" ref="AM291">SUM($F$2:$F$32*($C$2:$C$32=$Q$8))</f>
        <v>0</v>
      </c>
      <c r="AN291" s="3">
        <f t="shared" si="29"/>
        <v>0</v>
      </c>
      <c r="AO291" s="3">
        <f>SUM(J2:J32)</f>
        <v>1513.2499999999998</v>
      </c>
      <c r="AP2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3861.1174339999998</v>
      </c>
      <c r="AQ291" s="3" cm="1">
        <f t="array" aca="1" ref="AQ291" ca="1">OFFSET(Table7[[#This Row],[Investment Increase]],0,-1)-SUM($J$2:$J$32*($E$2:$E$32=$Q$31))</f>
        <v>422.11743399999978</v>
      </c>
    </row>
    <row r="292" spans="22:43" x14ac:dyDescent="0.45">
      <c r="V292" s="9">
        <v>44326</v>
      </c>
      <c r="W292" s="3">
        <v>168.57</v>
      </c>
      <c r="X292" s="2" cm="1">
        <f t="array" ref="X292">SUM($F$2:$F$32*($C$2:$C$32=$Q$2))</f>
        <v>5.0419999999999998</v>
      </c>
      <c r="Y292" s="3">
        <f t="shared" si="24"/>
        <v>849.92993999999999</v>
      </c>
      <c r="Z292" s="3">
        <v>169.11</v>
      </c>
      <c r="AA292" s="2" cm="1">
        <f t="array" ref="AA292">SUM($F$2:$F$32*($C$2:$C$32=$Q$3))</f>
        <v>6.0331000000000001</v>
      </c>
      <c r="AB292" s="3">
        <f t="shared" si="25"/>
        <v>1020.2575410000001</v>
      </c>
      <c r="AC292" s="3">
        <v>18.39</v>
      </c>
      <c r="AD292" s="2" cm="1">
        <f t="array" ref="AD292">SUM($F$2:$F$32*($C$2:$C$32=$Q$4))</f>
        <v>12.567</v>
      </c>
      <c r="AE292" s="3">
        <f t="shared" si="26"/>
        <v>231.10713000000001</v>
      </c>
      <c r="AF292" s="3">
        <v>14.84</v>
      </c>
      <c r="AG292" s="2" cm="1">
        <f t="array" ref="AG292">SUM($F$2:$F$32*($C$2:$C$32=$Q$5))</f>
        <v>16.84</v>
      </c>
      <c r="AH292" s="3">
        <f t="shared" si="27"/>
        <v>249.90559999999999</v>
      </c>
      <c r="AI292" s="3">
        <v>21.7</v>
      </c>
      <c r="AJ292" s="2" cm="1">
        <f t="array" ref="AJ292">SUM($F$2:$F$32*($C$2:$C$32=$Q$6))</f>
        <v>0</v>
      </c>
      <c r="AK292" s="3">
        <f t="shared" si="28"/>
        <v>0</v>
      </c>
      <c r="AL292" s="3">
        <v>17.05</v>
      </c>
      <c r="AM292" s="2" cm="1">
        <f t="array" ref="AM292">SUM($F$2:$F$32*($C$2:$C$32=$Q$8))</f>
        <v>0</v>
      </c>
      <c r="AN292" s="3">
        <f t="shared" si="29"/>
        <v>0</v>
      </c>
      <c r="AO292" s="3">
        <f>SUM(J2:J32)</f>
        <v>1513.2499999999998</v>
      </c>
      <c r="AP2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3864.4502109999994</v>
      </c>
      <c r="AQ292" s="3" cm="1">
        <f t="array" aca="1" ref="AQ292" ca="1">OFFSET(Table7[[#This Row],[Investment Increase]],0,-1)-SUM($J$2:$J$32*($E$2:$E$32=$Q$31))</f>
        <v>425.4502109999994</v>
      </c>
    </row>
    <row r="293" spans="22:43" x14ac:dyDescent="0.45">
      <c r="V293" s="9">
        <v>44323</v>
      </c>
      <c r="W293" s="3">
        <v>172.98</v>
      </c>
      <c r="X293" s="2" cm="1">
        <f t="array" ref="X293">SUM($F$2:$F$32*($C$2:$C$32=$Q$2))</f>
        <v>5.0419999999999998</v>
      </c>
      <c r="Y293" s="3">
        <f t="shared" si="24"/>
        <v>872.1651599999999</v>
      </c>
      <c r="Z293" s="3">
        <v>173.97</v>
      </c>
      <c r="AA293" s="2" cm="1">
        <f t="array" ref="AA293">SUM($F$2:$F$32*($C$2:$C$32=$Q$3))</f>
        <v>6.0331000000000001</v>
      </c>
      <c r="AB293" s="3">
        <f t="shared" si="25"/>
        <v>1049.578407</v>
      </c>
      <c r="AC293" s="3">
        <v>18.87</v>
      </c>
      <c r="AD293" s="2" cm="1">
        <f t="array" ref="AD293">SUM($F$2:$F$32*($C$2:$C$32=$Q$4))</f>
        <v>12.567</v>
      </c>
      <c r="AE293" s="3">
        <f t="shared" si="26"/>
        <v>237.13929000000002</v>
      </c>
      <c r="AF293" s="3">
        <v>15.01</v>
      </c>
      <c r="AG293" s="2" cm="1">
        <f t="array" ref="AG293">SUM($F$2:$F$32*($C$2:$C$32=$Q$5))</f>
        <v>16.84</v>
      </c>
      <c r="AH293" s="3">
        <f t="shared" si="27"/>
        <v>252.76839999999999</v>
      </c>
      <c r="AI293" s="3">
        <v>21.94</v>
      </c>
      <c r="AJ293" s="2" cm="1">
        <f t="array" ref="AJ293">SUM($F$2:$F$32*($C$2:$C$32=$Q$6))</f>
        <v>0</v>
      </c>
      <c r="AK293" s="3">
        <f t="shared" si="28"/>
        <v>0</v>
      </c>
      <c r="AL293" s="3">
        <v>17.07</v>
      </c>
      <c r="AM293" s="2" cm="1">
        <f t="array" ref="AM293">SUM($F$2:$F$32*($C$2:$C$32=$Q$8))</f>
        <v>0</v>
      </c>
      <c r="AN293" s="3">
        <f t="shared" si="29"/>
        <v>0</v>
      </c>
      <c r="AO293" s="3">
        <f>SUM(J2:J32)</f>
        <v>1513.2499999999998</v>
      </c>
      <c r="AP2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3924.9012569999995</v>
      </c>
      <c r="AQ293" s="3" cm="1">
        <f t="array" aca="1" ref="AQ293" ca="1">OFFSET(Table7[[#This Row],[Investment Increase]],0,-1)-SUM($J$2:$J$32*($E$2:$E$32=$Q$31))</f>
        <v>485.90125699999953</v>
      </c>
    </row>
    <row r="294" spans="22:43" x14ac:dyDescent="0.45">
      <c r="V294" s="9">
        <v>44322</v>
      </c>
      <c r="W294" s="3">
        <v>171.44</v>
      </c>
      <c r="X294" s="2" cm="1">
        <f t="array" ref="X294">SUM($F$2:$F$32*($C$2:$C$32=$Q$2))</f>
        <v>5.0419999999999998</v>
      </c>
      <c r="Y294" s="3">
        <f t="shared" si="24"/>
        <v>864.4004799999999</v>
      </c>
      <c r="Z294" s="3">
        <v>172.23</v>
      </c>
      <c r="AA294" s="2" cm="1">
        <f t="array" ref="AA294">SUM($F$2:$F$32*($C$2:$C$32=$Q$3))</f>
        <v>6.0331000000000001</v>
      </c>
      <c r="AB294" s="3">
        <f t="shared" si="25"/>
        <v>1039.080813</v>
      </c>
      <c r="AC294" s="3">
        <v>18.72</v>
      </c>
      <c r="AD294" s="2" cm="1">
        <f t="array" ref="AD294">SUM($F$2:$F$32*($C$2:$C$32=$Q$4))</f>
        <v>12.567</v>
      </c>
      <c r="AE294" s="3">
        <f t="shared" si="26"/>
        <v>235.25423999999998</v>
      </c>
      <c r="AF294" s="3">
        <v>14.9</v>
      </c>
      <c r="AG294" s="2" cm="1">
        <f t="array" ref="AG294">SUM($F$2:$F$32*($C$2:$C$32=$Q$5))</f>
        <v>16.84</v>
      </c>
      <c r="AH294" s="3">
        <f t="shared" si="27"/>
        <v>250.916</v>
      </c>
      <c r="AI294" s="3">
        <v>21.75</v>
      </c>
      <c r="AJ294" s="2" cm="1">
        <f t="array" ref="AJ294">SUM($F$2:$F$32*($C$2:$C$32=$Q$6))</f>
        <v>0</v>
      </c>
      <c r="AK294" s="3">
        <f t="shared" si="28"/>
        <v>0</v>
      </c>
      <c r="AL294" s="3">
        <v>16.75</v>
      </c>
      <c r="AM294" s="2" cm="1">
        <f t="array" ref="AM294">SUM($F$2:$F$32*($C$2:$C$32=$Q$8))</f>
        <v>0</v>
      </c>
      <c r="AN294" s="3">
        <f t="shared" si="29"/>
        <v>0</v>
      </c>
      <c r="AO294" s="3">
        <f>SUM(J2:J32)</f>
        <v>1513.2499999999998</v>
      </c>
      <c r="AP2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3902.9015330000002</v>
      </c>
      <c r="AQ294" s="3" cm="1">
        <f t="array" aca="1" ref="AQ294" ca="1">OFFSET(Table7[[#This Row],[Investment Increase]],0,-1)-SUM($J$2:$J$32*($E$2:$E$32=$Q$31))</f>
        <v>463.9015330000002</v>
      </c>
    </row>
    <row r="295" spans="22:43" x14ac:dyDescent="0.45">
      <c r="V295" s="9">
        <v>44321</v>
      </c>
      <c r="W295" s="3">
        <v>170.79</v>
      </c>
      <c r="X295" s="2" cm="1">
        <f t="array" ref="X295">SUM($F$2:$F$32*($C$2:$C$32=$Q$2))</f>
        <v>5.0419999999999998</v>
      </c>
      <c r="Y295" s="3">
        <f t="shared" si="24"/>
        <v>861.12317999999993</v>
      </c>
      <c r="Z295" s="3">
        <v>172.8</v>
      </c>
      <c r="AA295" s="2" cm="1">
        <f t="array" ref="AA295">SUM($F$2:$F$32*($C$2:$C$32=$Q$3))</f>
        <v>6.0331000000000001</v>
      </c>
      <c r="AB295" s="3">
        <f t="shared" si="25"/>
        <v>1042.5196800000001</v>
      </c>
      <c r="AC295" s="3">
        <v>18.670000000000002</v>
      </c>
      <c r="AD295" s="2" cm="1">
        <f t="array" ref="AD295">SUM($F$2:$F$32*($C$2:$C$32=$Q$4))</f>
        <v>12.567</v>
      </c>
      <c r="AE295" s="3">
        <f t="shared" si="26"/>
        <v>234.62589000000003</v>
      </c>
      <c r="AF295" s="3">
        <v>14.8</v>
      </c>
      <c r="AG295" s="2" cm="1">
        <f t="array" ref="AG295">SUM($F$2:$F$32*($C$2:$C$32=$Q$5))</f>
        <v>16.84</v>
      </c>
      <c r="AH295" s="3">
        <f t="shared" si="27"/>
        <v>249.232</v>
      </c>
      <c r="AI295" s="3">
        <v>21.55</v>
      </c>
      <c r="AJ295" s="2" cm="1">
        <f t="array" ref="AJ295">SUM($F$2:$F$32*($C$2:$C$32=$Q$6))</f>
        <v>0</v>
      </c>
      <c r="AK295" s="3">
        <f t="shared" si="28"/>
        <v>0</v>
      </c>
      <c r="AL295" s="3">
        <v>16.600000000000001</v>
      </c>
      <c r="AM295" s="2" cm="1">
        <f t="array" ref="AM295">SUM($F$2:$F$32*($C$2:$C$32=$Q$8))</f>
        <v>0</v>
      </c>
      <c r="AN295" s="3">
        <f t="shared" si="29"/>
        <v>0</v>
      </c>
      <c r="AO295" s="3">
        <f>SUM(J2:J32)</f>
        <v>1513.2499999999998</v>
      </c>
      <c r="AP2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3900.7507500000002</v>
      </c>
      <c r="AQ295" s="3" cm="1">
        <f t="array" aca="1" ref="AQ295" ca="1">OFFSET(Table7[[#This Row],[Investment Increase]],0,-1)-SUM($J$2:$J$32*($E$2:$E$32=$Q$31))</f>
        <v>461.75075000000015</v>
      </c>
    </row>
    <row r="296" spans="22:43" x14ac:dyDescent="0.45">
      <c r="V296" s="9">
        <v>44320</v>
      </c>
      <c r="W296" s="3">
        <v>171.43</v>
      </c>
      <c r="X296" s="2" cm="1">
        <f t="array" ref="X296">SUM($F$2:$F$32*($C$2:$C$32=$Q$2))</f>
        <v>5.0419999999999998</v>
      </c>
      <c r="Y296" s="3">
        <f t="shared" si="24"/>
        <v>864.35005999999998</v>
      </c>
      <c r="Z296" s="3">
        <v>173.45</v>
      </c>
      <c r="AA296" s="2" cm="1">
        <f t="array" ref="AA296">SUM($F$2:$F$32*($C$2:$C$32=$Q$3))</f>
        <v>6.0331000000000001</v>
      </c>
      <c r="AB296" s="3">
        <f t="shared" si="25"/>
        <v>1046.4411949999999</v>
      </c>
      <c r="AC296" s="3">
        <v>18.739999999999998</v>
      </c>
      <c r="AD296" s="2" cm="1">
        <f t="array" ref="AD296">SUM($F$2:$F$32*($C$2:$C$32=$Q$4))</f>
        <v>12.567</v>
      </c>
      <c r="AE296" s="3">
        <f t="shared" si="26"/>
        <v>235.50557999999998</v>
      </c>
      <c r="AF296" s="3">
        <v>14.8</v>
      </c>
      <c r="AG296" s="2" cm="1">
        <f t="array" ref="AG296">SUM($F$2:$F$32*($C$2:$C$32=$Q$5))</f>
        <v>16.84</v>
      </c>
      <c r="AH296" s="3">
        <f t="shared" si="27"/>
        <v>249.232</v>
      </c>
      <c r="AI296" s="3">
        <v>21.52</v>
      </c>
      <c r="AJ296" s="2" cm="1">
        <f t="array" ref="AJ296">SUM($F$2:$F$32*($C$2:$C$32=$Q$6))</f>
        <v>0</v>
      </c>
      <c r="AK296" s="3">
        <f t="shared" si="28"/>
        <v>0</v>
      </c>
      <c r="AL296" s="3">
        <v>16.2</v>
      </c>
      <c r="AM296" s="2" cm="1">
        <f t="array" ref="AM296">SUM($F$2:$F$32*($C$2:$C$32=$Q$8))</f>
        <v>0</v>
      </c>
      <c r="AN296" s="3">
        <f t="shared" si="29"/>
        <v>0</v>
      </c>
      <c r="AO296" s="3">
        <f>SUM(J2:J32)</f>
        <v>1513.2499999999998</v>
      </c>
      <c r="AP2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3908.7788349999992</v>
      </c>
      <c r="AQ296" s="3" cm="1">
        <f t="array" aca="1" ref="AQ296" ca="1">OFFSET(Table7[[#This Row],[Investment Increase]],0,-1)-SUM($J$2:$J$32*($E$2:$E$32=$Q$31))</f>
        <v>469.77883499999916</v>
      </c>
    </row>
    <row r="297" spans="22:43" x14ac:dyDescent="0.45">
      <c r="V297" s="9">
        <v>44319</v>
      </c>
      <c r="W297" s="3">
        <v>174.73</v>
      </c>
      <c r="X297" s="2" cm="1">
        <f t="array" ref="X297">SUM($F$2:$F$32*($C$2:$C$32=$Q$2))</f>
        <v>5.0419999999999998</v>
      </c>
      <c r="Y297" s="3">
        <f t="shared" si="24"/>
        <v>880.98865999999987</v>
      </c>
      <c r="Z297" s="3">
        <v>176.81</v>
      </c>
      <c r="AA297" s="2" cm="1">
        <f t="array" ref="AA297">SUM($F$2:$F$32*($C$2:$C$32=$Q$3))</f>
        <v>6.0331000000000001</v>
      </c>
      <c r="AB297" s="3">
        <f t="shared" si="25"/>
        <v>1066.712411</v>
      </c>
      <c r="AC297" s="3">
        <v>19.07</v>
      </c>
      <c r="AD297" s="2" cm="1">
        <f t="array" ref="AD297">SUM($F$2:$F$32*($C$2:$C$32=$Q$4))</f>
        <v>12.567</v>
      </c>
      <c r="AE297" s="3">
        <f t="shared" si="26"/>
        <v>239.65269000000001</v>
      </c>
      <c r="AF297" s="3">
        <v>14.92</v>
      </c>
      <c r="AG297" s="2" cm="1">
        <f t="array" ref="AG297">SUM($F$2:$F$32*($C$2:$C$32=$Q$5))</f>
        <v>16.84</v>
      </c>
      <c r="AH297" s="3">
        <f t="shared" si="27"/>
        <v>251.25280000000001</v>
      </c>
      <c r="AI297" s="3">
        <v>21.66</v>
      </c>
      <c r="AJ297" s="2" cm="1">
        <f t="array" ref="AJ297">SUM($F$2:$F$32*($C$2:$C$32=$Q$6))</f>
        <v>0</v>
      </c>
      <c r="AK297" s="3">
        <f t="shared" si="28"/>
        <v>0</v>
      </c>
      <c r="AL297" s="3">
        <v>16.13</v>
      </c>
      <c r="AM297" s="2" cm="1">
        <f t="array" ref="AM297">SUM($F$2:$F$32*($C$2:$C$32=$Q$8))</f>
        <v>0</v>
      </c>
      <c r="AN297" s="3">
        <f t="shared" si="29"/>
        <v>0</v>
      </c>
      <c r="AO297" s="3">
        <f>SUM(J2:J32)</f>
        <v>1513.2499999999998</v>
      </c>
      <c r="AP2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3951.8565609999996</v>
      </c>
      <c r="AQ297" s="3" cm="1">
        <f t="array" aca="1" ref="AQ297" ca="1">OFFSET(Table7[[#This Row],[Investment Increase]],0,-1)-SUM($J$2:$J$32*($E$2:$E$32=$Q$31))</f>
        <v>512.8565609999996</v>
      </c>
    </row>
    <row r="298" spans="22:43" x14ac:dyDescent="0.45">
      <c r="V298" s="9">
        <v>44316</v>
      </c>
      <c r="W298" s="3">
        <v>175.58</v>
      </c>
      <c r="X298" s="2" cm="1">
        <f t="array" ref="X298">SUM($F$2:$F$32*($C$2:$C$32=$Q$2))</f>
        <v>5.0419999999999998</v>
      </c>
      <c r="Y298" s="3">
        <f t="shared" si="24"/>
        <v>885.27436</v>
      </c>
      <c r="Z298" s="3">
        <v>177.68</v>
      </c>
      <c r="AA298" s="2" cm="1">
        <f t="array" ref="AA298">SUM($F$2:$F$32*($C$2:$C$32=$Q$3))</f>
        <v>6.0331000000000001</v>
      </c>
      <c r="AB298" s="3">
        <f t="shared" si="25"/>
        <v>1071.9612080000002</v>
      </c>
      <c r="AC298" s="3">
        <v>19.18</v>
      </c>
      <c r="AD298" s="2" cm="1">
        <f t="array" ref="AD298">SUM($F$2:$F$32*($C$2:$C$32=$Q$4))</f>
        <v>12.567</v>
      </c>
      <c r="AE298" s="3">
        <f t="shared" si="26"/>
        <v>241.03505999999999</v>
      </c>
      <c r="AF298" s="3">
        <v>14.9</v>
      </c>
      <c r="AG298" s="2" cm="1">
        <f t="array" ref="AG298">SUM($F$2:$F$32*($C$2:$C$32=$Q$5))</f>
        <v>16.84</v>
      </c>
      <c r="AH298" s="3">
        <f t="shared" si="27"/>
        <v>250.916</v>
      </c>
      <c r="AI298" s="3">
        <v>21.57</v>
      </c>
      <c r="AJ298" s="2" cm="1">
        <f t="array" ref="AJ298">SUM($F$2:$F$32*($C$2:$C$32=$Q$6))</f>
        <v>0</v>
      </c>
      <c r="AK298" s="3">
        <f t="shared" si="28"/>
        <v>0</v>
      </c>
      <c r="AL298" s="3">
        <v>15.83</v>
      </c>
      <c r="AM298" s="2" cm="1">
        <f t="array" ref="AM298">SUM($F$2:$F$32*($C$2:$C$32=$Q$8))</f>
        <v>0</v>
      </c>
      <c r="AN298" s="3">
        <f t="shared" si="29"/>
        <v>0</v>
      </c>
      <c r="AO298" s="3">
        <f>SUM(J2:J32)</f>
        <v>1513.2499999999998</v>
      </c>
      <c r="AP2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3962.4366280000004</v>
      </c>
      <c r="AQ298" s="3" cm="1">
        <f t="array" aca="1" ref="AQ298" ca="1">OFFSET(Table7[[#This Row],[Investment Increase]],0,-1)-SUM($J$2:$J$32*($E$2:$E$32=$Q$31))</f>
        <v>523.43662800000038</v>
      </c>
    </row>
    <row r="299" spans="22:43" x14ac:dyDescent="0.45">
      <c r="V299" s="9">
        <v>44315</v>
      </c>
      <c r="W299" s="3">
        <v>177.08</v>
      </c>
      <c r="X299" s="2" cm="1">
        <f t="array" ref="X299">SUM($F$2:$F$31*($C$2:$C$31=$Q$2))</f>
        <v>5.0419999999999998</v>
      </c>
      <c r="Y299" s="3">
        <f t="shared" si="24"/>
        <v>892.83735999999999</v>
      </c>
      <c r="Z299" s="3">
        <v>179.93</v>
      </c>
      <c r="AA299" s="2" cm="1">
        <f t="array" ref="AA299">SUM($F$2:$F$31*($C$2:$C$31=$Q$3))</f>
        <v>6.0331000000000001</v>
      </c>
      <c r="AB299" s="3">
        <f t="shared" si="25"/>
        <v>1085.5356830000001</v>
      </c>
      <c r="AC299" s="3">
        <v>19.489999999999998</v>
      </c>
      <c r="AD299" s="2" cm="1">
        <f t="array" ref="AD299">SUM($F$2:$F$31*($C$2:$C$31=$Q$4))</f>
        <v>12.567</v>
      </c>
      <c r="AE299" s="3">
        <f t="shared" si="26"/>
        <v>244.93082999999999</v>
      </c>
      <c r="AF299" s="3">
        <v>15.01</v>
      </c>
      <c r="AG299" s="2" cm="1">
        <f t="array" ref="AG299">SUM($F$2:$F$31*($C$2:$C$31=$Q$5))</f>
        <v>16.84</v>
      </c>
      <c r="AH299" s="3">
        <f t="shared" si="27"/>
        <v>252.76839999999999</v>
      </c>
      <c r="AI299" s="3">
        <v>21.74</v>
      </c>
      <c r="AJ299" s="2" cm="1">
        <f t="array" ref="AJ299">SUM($F$2:$F$31*($C$2:$C$31=$Q$6))</f>
        <v>0</v>
      </c>
      <c r="AK299" s="3">
        <f t="shared" si="28"/>
        <v>0</v>
      </c>
      <c r="AL299" s="3">
        <v>16.18</v>
      </c>
      <c r="AM299" s="2" cm="1">
        <f t="array" ref="AM299">SUM($F$2:$F$31*($C$2:$C$31=$Q$8))</f>
        <v>0</v>
      </c>
      <c r="AN299" s="3">
        <f t="shared" si="29"/>
        <v>0</v>
      </c>
      <c r="AO299" s="3">
        <f>SUM(J2:J31)</f>
        <v>1513.2399999999998</v>
      </c>
      <c r="AP2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3989.3122729999995</v>
      </c>
      <c r="AQ299" s="3" cm="1">
        <f t="array" aca="1" ref="AQ299" ca="1">OFFSET(Table7[[#This Row],[Investment Increase]],0,-1)-SUM($J$2:$J$31*($E$2:$E$31=$Q$31))</f>
        <v>550.31227299999955</v>
      </c>
    </row>
    <row r="300" spans="22:43" x14ac:dyDescent="0.45">
      <c r="V300" s="9">
        <v>44314</v>
      </c>
      <c r="W300" s="3">
        <v>176.67</v>
      </c>
      <c r="X300" s="2" cm="1">
        <f t="array" ref="X300">SUM($F$2:$F$31*($C$2:$C$31=$Q$2))</f>
        <v>5.0419999999999998</v>
      </c>
      <c r="Y300" s="3">
        <f t="shared" si="24"/>
        <v>890.77013999999986</v>
      </c>
      <c r="Z300" s="3">
        <v>180.48</v>
      </c>
      <c r="AA300" s="2" cm="1">
        <f t="array" ref="AA300">SUM($F$2:$F$31*($C$2:$C$31=$Q$3))</f>
        <v>6.0331000000000001</v>
      </c>
      <c r="AB300" s="3">
        <f t="shared" si="25"/>
        <v>1088.8538879999999</v>
      </c>
      <c r="AC300" s="3">
        <v>19.41</v>
      </c>
      <c r="AD300" s="2" cm="1">
        <f t="array" ref="AD300">SUM($F$2:$F$31*($C$2:$C$31=$Q$4))</f>
        <v>12.567</v>
      </c>
      <c r="AE300" s="3">
        <f t="shared" si="26"/>
        <v>243.92547000000002</v>
      </c>
      <c r="AF300" s="3">
        <v>14.93</v>
      </c>
      <c r="AG300" s="2" cm="1">
        <f t="array" ref="AG300">SUM($F$2:$F$31*($C$2:$C$31=$Q$5))</f>
        <v>16.84</v>
      </c>
      <c r="AH300" s="3">
        <f t="shared" si="27"/>
        <v>251.4212</v>
      </c>
      <c r="AI300" s="3">
        <v>21.62</v>
      </c>
      <c r="AJ300" s="2" cm="1">
        <f t="array" ref="AJ300">SUM($F$2:$F$31*($C$2:$C$31=$Q$6))</f>
        <v>0</v>
      </c>
      <c r="AK300" s="3">
        <f t="shared" si="28"/>
        <v>0</v>
      </c>
      <c r="AL300" s="3">
        <v>16.23</v>
      </c>
      <c r="AM300" s="2" cm="1">
        <f t="array" ref="AM300">SUM($F$2:$F$31*($C$2:$C$31=$Q$8))</f>
        <v>0</v>
      </c>
      <c r="AN300" s="3">
        <f t="shared" si="29"/>
        <v>0</v>
      </c>
      <c r="AO300" s="3">
        <f>SUM(J2:J31)</f>
        <v>1513.2399999999998</v>
      </c>
      <c r="AP3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3988.2106979999999</v>
      </c>
      <c r="AQ300" s="3" cm="1">
        <f t="array" aca="1" ref="AQ300" ca="1">OFFSET(Table7[[#This Row],[Investment Increase]],0,-1)-SUM($J$2:$J$31*($E$2:$E$31=$Q$31))</f>
        <v>549.21069799999987</v>
      </c>
    </row>
    <row r="301" spans="22:43" x14ac:dyDescent="0.45">
      <c r="V301" s="9">
        <v>44313</v>
      </c>
      <c r="W301" s="3">
        <v>177.18</v>
      </c>
      <c r="X301" s="2" cm="1">
        <f t="array" ref="X301">SUM($F$2:$F$31*($C$2:$C$31=$Q$2))</f>
        <v>5.0419999999999998</v>
      </c>
      <c r="Y301" s="3">
        <f t="shared" si="24"/>
        <v>893.34155999999996</v>
      </c>
      <c r="Z301" s="3">
        <v>180.17</v>
      </c>
      <c r="AA301" s="2" cm="1">
        <f t="array" ref="AA301">SUM($F$2:$F$31*($C$2:$C$31=$Q$3))</f>
        <v>6.0331000000000001</v>
      </c>
      <c r="AB301" s="3">
        <f t="shared" si="25"/>
        <v>1086.9836269999998</v>
      </c>
      <c r="AC301" s="3">
        <v>19.39</v>
      </c>
      <c r="AD301" s="2" cm="1">
        <f t="array" ref="AD301">SUM($F$2:$F$31*($C$2:$C$31=$Q$4))</f>
        <v>12.567</v>
      </c>
      <c r="AE301" s="3">
        <f t="shared" si="26"/>
        <v>243.67413000000002</v>
      </c>
      <c r="AF301" s="3">
        <v>14.95</v>
      </c>
      <c r="AG301" s="2" cm="1">
        <f t="array" ref="AG301">SUM($F$2:$F$31*($C$2:$C$31=$Q$5))</f>
        <v>16.84</v>
      </c>
      <c r="AH301" s="3">
        <f t="shared" si="27"/>
        <v>251.75799999999998</v>
      </c>
      <c r="AI301" s="3">
        <v>21.61</v>
      </c>
      <c r="AJ301" s="2" cm="1">
        <f t="array" ref="AJ301">SUM($F$2:$F$31*($C$2:$C$31=$Q$6))</f>
        <v>0</v>
      </c>
      <c r="AK301" s="3">
        <f t="shared" si="28"/>
        <v>0</v>
      </c>
      <c r="AL301" s="3">
        <v>16.05</v>
      </c>
      <c r="AM301" s="2" cm="1">
        <f t="array" ref="AM301">SUM($F$2:$F$31*($C$2:$C$31=$Q$8))</f>
        <v>0</v>
      </c>
      <c r="AN301" s="3">
        <f t="shared" si="29"/>
        <v>0</v>
      </c>
      <c r="AO301" s="3">
        <f>SUM(J2:J31)</f>
        <v>1513.2399999999998</v>
      </c>
      <c r="AP3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3988.9973169999994</v>
      </c>
      <c r="AQ301" s="3" cm="1">
        <f t="array" aca="1" ref="AQ301" ca="1">OFFSET(Table7[[#This Row],[Investment Increase]],0,-1)-SUM($J$2:$J$31*($E$2:$E$31=$Q$31))</f>
        <v>549.99731699999938</v>
      </c>
    </row>
    <row r="302" spans="22:43" x14ac:dyDescent="0.45">
      <c r="V302" s="9">
        <v>44312</v>
      </c>
      <c r="W302" s="3">
        <v>177.79</v>
      </c>
      <c r="X302" s="2" cm="1">
        <f t="array" ref="X302">SUM($F$2:$F$31*($C$2:$C$31=$Q$2))</f>
        <v>5.0419999999999998</v>
      </c>
      <c r="Y302" s="3">
        <f t="shared" si="24"/>
        <v>896.41717999999992</v>
      </c>
      <c r="Z302" s="3">
        <v>180.26</v>
      </c>
      <c r="AA302" s="2" cm="1">
        <f t="array" ref="AA302">SUM($F$2:$F$31*($C$2:$C$31=$Q$3))</f>
        <v>6.0331000000000001</v>
      </c>
      <c r="AB302" s="3">
        <f t="shared" si="25"/>
        <v>1087.5266059999999</v>
      </c>
      <c r="AC302" s="3">
        <v>19.41</v>
      </c>
      <c r="AD302" s="2" cm="1">
        <f t="array" ref="AD302">SUM($F$2:$F$31*($C$2:$C$31=$Q$4))</f>
        <v>12.567</v>
      </c>
      <c r="AE302" s="3">
        <f t="shared" si="26"/>
        <v>243.92547000000002</v>
      </c>
      <c r="AF302" s="3">
        <v>14.95</v>
      </c>
      <c r="AG302" s="2" cm="1">
        <f t="array" ref="AG302">SUM($F$2:$F$31*($C$2:$C$31=$Q$5))</f>
        <v>16.84</v>
      </c>
      <c r="AH302" s="3">
        <f t="shared" si="27"/>
        <v>251.75799999999998</v>
      </c>
      <c r="AI302" s="3">
        <v>21.61</v>
      </c>
      <c r="AJ302" s="2" cm="1">
        <f t="array" ref="AJ302">SUM($F$2:$F$31*($C$2:$C$31=$Q$6))</f>
        <v>0</v>
      </c>
      <c r="AK302" s="3">
        <f t="shared" si="28"/>
        <v>0</v>
      </c>
      <c r="AL302" s="3">
        <v>16.010000000000002</v>
      </c>
      <c r="AM302" s="2" cm="1">
        <f t="array" ref="AM302">SUM($F$2:$F$31*($C$2:$C$31=$Q$8))</f>
        <v>0</v>
      </c>
      <c r="AN302" s="3">
        <f t="shared" si="29"/>
        <v>0</v>
      </c>
      <c r="AO302" s="3">
        <f>SUM(J2:J31)</f>
        <v>1513.2399999999998</v>
      </c>
      <c r="AP3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3992.8672559999995</v>
      </c>
      <c r="AQ302" s="3" cm="1">
        <f t="array" aca="1" ref="AQ302" ca="1">OFFSET(Table7[[#This Row],[Investment Increase]],0,-1)-SUM($J$2:$J$31*($E$2:$E$31=$Q$31))</f>
        <v>553.86725599999954</v>
      </c>
    </row>
    <row r="303" spans="22:43" x14ac:dyDescent="0.45">
      <c r="V303" s="9">
        <v>44309</v>
      </c>
      <c r="W303" s="3">
        <v>176.26</v>
      </c>
      <c r="X303" s="2" cm="1">
        <f t="array" ref="X303">SUM($F$2:$F$31*($C$2:$C$31=$Q$2))</f>
        <v>5.0419999999999998</v>
      </c>
      <c r="Y303" s="3">
        <f t="shared" si="24"/>
        <v>888.70291999999995</v>
      </c>
      <c r="Z303" s="3">
        <v>178.61</v>
      </c>
      <c r="AA303" s="2" cm="1">
        <f t="array" ref="AA303">SUM($F$2:$F$31*($C$2:$C$31=$Q$3))</f>
        <v>6.0331000000000001</v>
      </c>
      <c r="AB303" s="3">
        <f t="shared" si="25"/>
        <v>1077.571991</v>
      </c>
      <c r="AC303" s="3">
        <v>19.260000000000002</v>
      </c>
      <c r="AD303" s="2" cm="1">
        <f t="array" ref="AD303">SUM($F$2:$F$31*($C$2:$C$31=$Q$4))</f>
        <v>12.567</v>
      </c>
      <c r="AE303" s="3">
        <f t="shared" si="26"/>
        <v>242.04042000000001</v>
      </c>
      <c r="AF303" s="3">
        <v>14.91</v>
      </c>
      <c r="AG303" s="2" cm="1">
        <f t="array" ref="AG303">SUM($F$2:$F$31*($C$2:$C$31=$Q$5))</f>
        <v>16.84</v>
      </c>
      <c r="AH303" s="3">
        <f t="shared" si="27"/>
        <v>251.08439999999999</v>
      </c>
      <c r="AI303" s="3">
        <v>21.55</v>
      </c>
      <c r="AJ303" s="2" cm="1">
        <f t="array" ref="AJ303">SUM($F$2:$F$31*($C$2:$C$31=$Q$6))</f>
        <v>0</v>
      </c>
      <c r="AK303" s="3">
        <f t="shared" si="28"/>
        <v>0</v>
      </c>
      <c r="AL303" s="3">
        <v>15.76</v>
      </c>
      <c r="AM303" s="2" cm="1">
        <f t="array" ref="AM303">SUM($F$2:$F$31*($C$2:$C$31=$Q$8))</f>
        <v>0</v>
      </c>
      <c r="AN303" s="3">
        <f t="shared" si="29"/>
        <v>0</v>
      </c>
      <c r="AO303" s="3">
        <f>SUM(J2:J31)</f>
        <v>1513.2399999999998</v>
      </c>
      <c r="AP3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3972.6397309999998</v>
      </c>
      <c r="AQ303" s="3" cm="1">
        <f t="array" aca="1" ref="AQ303" ca="1">OFFSET(Table7[[#This Row],[Investment Increase]],0,-1)-SUM($J$2:$J$31*($E$2:$E$31=$Q$31))</f>
        <v>533.63973099999976</v>
      </c>
    </row>
    <row r="304" spans="22:43" x14ac:dyDescent="0.45">
      <c r="V304" s="9">
        <v>44308</v>
      </c>
      <c r="W304" s="3">
        <v>173.76</v>
      </c>
      <c r="X304" s="2" cm="1">
        <f t="array" ref="X304">SUM($F$2:$F$31*($C$2:$C$31=$Q$2))</f>
        <v>5.0419999999999998</v>
      </c>
      <c r="Y304" s="3">
        <f t="shared" si="24"/>
        <v>876.09791999999993</v>
      </c>
      <c r="Z304" s="3">
        <v>175.42</v>
      </c>
      <c r="AA304" s="2" cm="1">
        <f t="array" ref="AA304">SUM($F$2:$F$31*($C$2:$C$31=$Q$3))</f>
        <v>6.0331000000000001</v>
      </c>
      <c r="AB304" s="3">
        <f t="shared" si="25"/>
        <v>1058.3264019999999</v>
      </c>
      <c r="AC304" s="3">
        <v>18.95</v>
      </c>
      <c r="AD304" s="2" cm="1">
        <f t="array" ref="AD304">SUM($F$2:$F$31*($C$2:$C$31=$Q$4))</f>
        <v>12.567</v>
      </c>
      <c r="AE304" s="3">
        <f t="shared" si="26"/>
        <v>238.14464999999998</v>
      </c>
      <c r="AF304" s="3">
        <v>14.74</v>
      </c>
      <c r="AG304" s="2" cm="1">
        <f t="array" ref="AG304">SUM($F$2:$F$31*($C$2:$C$31=$Q$5))</f>
        <v>16.84</v>
      </c>
      <c r="AH304" s="3">
        <f t="shared" si="27"/>
        <v>248.2216</v>
      </c>
      <c r="AI304" s="3">
        <v>21.3</v>
      </c>
      <c r="AJ304" s="2" cm="1">
        <f t="array" ref="AJ304">SUM($F$2:$F$31*($C$2:$C$31=$Q$6))</f>
        <v>0</v>
      </c>
      <c r="AK304" s="3">
        <f t="shared" si="28"/>
        <v>0</v>
      </c>
      <c r="AL304" s="3">
        <v>15.56</v>
      </c>
      <c r="AM304" s="2" cm="1">
        <f t="array" ref="AM304">SUM($F$2:$F$31*($C$2:$C$31=$Q$8))</f>
        <v>0</v>
      </c>
      <c r="AN304" s="3">
        <f t="shared" si="29"/>
        <v>0</v>
      </c>
      <c r="AO304" s="3">
        <f>SUM(J2:J31)</f>
        <v>1513.2399999999998</v>
      </c>
      <c r="AP3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3934.0305719999997</v>
      </c>
      <c r="AQ304" s="3" cm="1">
        <f t="array" aca="1" ref="AQ304" ca="1">OFFSET(Table7[[#This Row],[Investment Increase]],0,-1)-SUM($J$2:$J$31*($E$2:$E$31=$Q$31))</f>
        <v>495.03057199999967</v>
      </c>
    </row>
    <row r="305" spans="22:43" x14ac:dyDescent="0.45">
      <c r="V305" s="9">
        <v>44307</v>
      </c>
      <c r="W305" s="3">
        <v>175.42</v>
      </c>
      <c r="X305" s="2" cm="1">
        <f t="array" ref="X305">SUM($F$2:$F$31*($C$2:$C$31=$Q$2))</f>
        <v>5.0419999999999998</v>
      </c>
      <c r="Y305" s="3">
        <f t="shared" si="24"/>
        <v>884.46763999999996</v>
      </c>
      <c r="Z305" s="3">
        <v>176.84</v>
      </c>
      <c r="AA305" s="2" cm="1">
        <f t="array" ref="AA305">SUM($F$2:$F$31*($C$2:$C$31=$Q$3))</f>
        <v>6.0331000000000001</v>
      </c>
      <c r="AB305" s="3">
        <f t="shared" si="25"/>
        <v>1066.8934040000001</v>
      </c>
      <c r="AC305" s="3">
        <v>19.149999999999999</v>
      </c>
      <c r="AD305" s="2" cm="1">
        <f t="array" ref="AD305">SUM($F$2:$F$31*($C$2:$C$31=$Q$4))</f>
        <v>12.567</v>
      </c>
      <c r="AE305" s="3">
        <f t="shared" si="26"/>
        <v>240.65804999999997</v>
      </c>
      <c r="AF305" s="3">
        <v>14.87</v>
      </c>
      <c r="AG305" s="2" cm="1">
        <f t="array" ref="AG305">SUM($F$2:$F$31*($C$2:$C$31=$Q$5))</f>
        <v>16.84</v>
      </c>
      <c r="AH305" s="3">
        <f t="shared" si="27"/>
        <v>250.41079999999999</v>
      </c>
      <c r="AI305" s="3">
        <v>21.49</v>
      </c>
      <c r="AJ305" s="2" cm="1">
        <f t="array" ref="AJ305">SUM($F$2:$F$31*($C$2:$C$31=$Q$6))</f>
        <v>0</v>
      </c>
      <c r="AK305" s="3">
        <f t="shared" si="28"/>
        <v>0</v>
      </c>
      <c r="AL305" s="3">
        <v>15.74</v>
      </c>
      <c r="AM305" s="2" cm="1">
        <f t="array" ref="AM305">SUM($F$2:$F$31*($C$2:$C$31=$Q$8))</f>
        <v>0</v>
      </c>
      <c r="AN305" s="3">
        <f t="shared" si="29"/>
        <v>0</v>
      </c>
      <c r="AO305" s="3">
        <f>SUM(J2:J31)</f>
        <v>1513.2399999999998</v>
      </c>
      <c r="AP3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3955.6698940000001</v>
      </c>
      <c r="AQ305" s="3" cm="1">
        <f t="array" aca="1" ref="AQ305" ca="1">OFFSET(Table7[[#This Row],[Investment Increase]],0,-1)-SUM($J$2:$J$31*($E$2:$E$31=$Q$31))</f>
        <v>516.66989400000011</v>
      </c>
    </row>
    <row r="306" spans="22:43" x14ac:dyDescent="0.45">
      <c r="V306" s="9">
        <v>44306</v>
      </c>
      <c r="W306" s="3">
        <v>173.36</v>
      </c>
      <c r="X306" s="2" cm="1">
        <f t="array" ref="X306">SUM($F$2:$F$31*($C$2:$C$31=$Q$2))</f>
        <v>5.0419999999999998</v>
      </c>
      <c r="Y306" s="3">
        <f t="shared" si="24"/>
        <v>874.08112000000006</v>
      </c>
      <c r="Z306" s="3">
        <v>174.57</v>
      </c>
      <c r="AA306" s="2" cm="1">
        <f t="array" ref="AA306">SUM($F$2:$F$31*($C$2:$C$31=$Q$3))</f>
        <v>6.0331000000000001</v>
      </c>
      <c r="AB306" s="3">
        <f t="shared" si="25"/>
        <v>1053.198267</v>
      </c>
      <c r="AC306" s="3">
        <v>18.93</v>
      </c>
      <c r="AD306" s="2" cm="1">
        <f t="array" ref="AD306">SUM($F$2:$F$31*($C$2:$C$31=$Q$4))</f>
        <v>12.567</v>
      </c>
      <c r="AE306" s="3">
        <f t="shared" si="26"/>
        <v>237.89331000000001</v>
      </c>
      <c r="AF306" s="3">
        <v>14.73</v>
      </c>
      <c r="AG306" s="2" cm="1">
        <f t="array" ref="AG306">SUM($F$2:$F$31*($C$2:$C$31=$Q$5))</f>
        <v>16.84</v>
      </c>
      <c r="AH306" s="3">
        <f t="shared" si="27"/>
        <v>248.0532</v>
      </c>
      <c r="AI306" s="3">
        <v>21.31</v>
      </c>
      <c r="AJ306" s="2" cm="1">
        <f t="array" ref="AJ306">SUM($F$2:$F$31*($C$2:$C$31=$Q$6))</f>
        <v>0</v>
      </c>
      <c r="AK306" s="3">
        <f t="shared" si="28"/>
        <v>0</v>
      </c>
      <c r="AL306" s="3">
        <v>15.53</v>
      </c>
      <c r="AM306" s="2" cm="1">
        <f t="array" ref="AM306">SUM($F$2:$F$31*($C$2:$C$31=$Q$8))</f>
        <v>0</v>
      </c>
      <c r="AN306" s="3">
        <f t="shared" si="29"/>
        <v>0</v>
      </c>
      <c r="AO306" s="3">
        <f>SUM(J2:J31)</f>
        <v>1513.2399999999998</v>
      </c>
      <c r="AP3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3926.4658969999996</v>
      </c>
      <c r="AQ306" s="3" cm="1">
        <f t="array" aca="1" ref="AQ306" ca="1">OFFSET(Table7[[#This Row],[Investment Increase]],0,-1)-SUM($J$2:$J$31*($E$2:$E$31=$Q$31))</f>
        <v>487.46589699999959</v>
      </c>
    </row>
    <row r="307" spans="22:43" x14ac:dyDescent="0.45">
      <c r="V307" s="9">
        <v>44305</v>
      </c>
      <c r="W307" s="3">
        <v>174.97</v>
      </c>
      <c r="X307" s="2" cm="1">
        <f t="array" ref="X307">SUM($F$2:$F$28*($C$2:$C$28=$Q$2))</f>
        <v>3.8419999999999996</v>
      </c>
      <c r="Y307" s="3">
        <f t="shared" si="24"/>
        <v>672.23473999999999</v>
      </c>
      <c r="Z307" s="3">
        <v>177.03</v>
      </c>
      <c r="AA307" s="2" cm="1">
        <f t="array" ref="AA307">SUM($F$2:$F$28*($C$2:$C$28=$Q$3))</f>
        <v>2.1331000000000002</v>
      </c>
      <c r="AB307" s="3">
        <f t="shared" si="25"/>
        <v>377.62269300000003</v>
      </c>
      <c r="AC307" s="3">
        <v>19.149999999999999</v>
      </c>
      <c r="AD307" s="2" cm="1">
        <f t="array" ref="AD307">SUM($F$2:$F$28*($C$2:$C$28=$Q$4))</f>
        <v>12.567</v>
      </c>
      <c r="AE307" s="3">
        <f t="shared" si="26"/>
        <v>240.65804999999997</v>
      </c>
      <c r="AF307" s="3">
        <v>14.84</v>
      </c>
      <c r="AG307" s="2" cm="1">
        <f t="array" ref="AG307">SUM($F$2:$F$28*($C$2:$C$28=$Q$5))</f>
        <v>8.8089999999999993</v>
      </c>
      <c r="AH307" s="3">
        <f t="shared" si="27"/>
        <v>130.72556</v>
      </c>
      <c r="AI307" s="3">
        <v>21.52</v>
      </c>
      <c r="AJ307" s="2" cm="1">
        <f t="array" ref="AJ307">SUM($F$2:$F$28*($C$2:$C$28=$Q$6))</f>
        <v>0</v>
      </c>
      <c r="AK307" s="3">
        <f t="shared" si="28"/>
        <v>0</v>
      </c>
      <c r="AL307" s="3">
        <v>15.84</v>
      </c>
      <c r="AM307" s="2" cm="1">
        <f t="array" ref="AM307">SUM($F$2:$F$28*($C$2:$C$28=$Q$8))</f>
        <v>0</v>
      </c>
      <c r="AN307" s="3">
        <f t="shared" si="29"/>
        <v>0</v>
      </c>
      <c r="AO307" s="3">
        <f>SUM(J2:J28)</f>
        <v>2358.2399999999998</v>
      </c>
      <c r="AP3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3779.4810429999998</v>
      </c>
      <c r="AQ307" s="3" cm="1">
        <f t="array" aca="1" ref="AQ307" ca="1">OFFSET(Table7[[#This Row],[Investment Increase]],0,-1)-SUM($J$2:$J$28*($E$2:$E$28=$Q$31))</f>
        <v>340.48104299999977</v>
      </c>
    </row>
    <row r="308" spans="22:43" x14ac:dyDescent="0.45">
      <c r="V308" s="9">
        <v>44302</v>
      </c>
      <c r="W308" s="3">
        <v>176.7</v>
      </c>
      <c r="X308" s="2" cm="1">
        <f t="array" ref="X308">SUM($F$2:$F$28*($C$2:$C$28=$Q$2))</f>
        <v>3.8419999999999996</v>
      </c>
      <c r="Y308" s="3">
        <f t="shared" si="24"/>
        <v>678.88139999999987</v>
      </c>
      <c r="Z308" s="3">
        <v>179.25</v>
      </c>
      <c r="AA308" s="2" cm="1">
        <f t="array" ref="AA308">SUM($F$2:$F$28*($C$2:$C$28=$Q$3))</f>
        <v>2.1331000000000002</v>
      </c>
      <c r="AB308" s="3">
        <f t="shared" si="25"/>
        <v>382.35817500000002</v>
      </c>
      <c r="AC308" s="3">
        <v>19.36</v>
      </c>
      <c r="AD308" s="2" cm="1">
        <f t="array" ref="AD308">SUM($F$2:$F$28*($C$2:$C$28=$Q$4))</f>
        <v>12.567</v>
      </c>
      <c r="AE308" s="3">
        <f t="shared" si="26"/>
        <v>243.29712000000001</v>
      </c>
      <c r="AF308" s="3">
        <v>14.93</v>
      </c>
      <c r="AG308" s="2" cm="1">
        <f t="array" ref="AG308">SUM($F$2:$F$28*($C$2:$C$28=$Q$5))</f>
        <v>8.8089999999999993</v>
      </c>
      <c r="AH308" s="3">
        <f t="shared" si="27"/>
        <v>131.51836999999998</v>
      </c>
      <c r="AI308" s="3">
        <v>21.63</v>
      </c>
      <c r="AJ308" s="2" cm="1">
        <f t="array" ref="AJ308">SUM($F$2:$F$28*($C$2:$C$28=$Q$6))</f>
        <v>0</v>
      </c>
      <c r="AK308" s="3">
        <f t="shared" si="28"/>
        <v>0</v>
      </c>
      <c r="AL308" s="3">
        <v>15.87</v>
      </c>
      <c r="AM308" s="2" cm="1">
        <f t="array" ref="AM308">SUM($F$2:$F$28*($C$2:$C$28=$Q$8))</f>
        <v>0</v>
      </c>
      <c r="AN308" s="3">
        <f t="shared" si="29"/>
        <v>0</v>
      </c>
      <c r="AO308" s="3">
        <f>SUM(J2:J28)</f>
        <v>2358.2399999999998</v>
      </c>
      <c r="AP3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3794.2950649999993</v>
      </c>
      <c r="AQ308" s="3" cm="1">
        <f t="array" aca="1" ref="AQ308" ca="1">OFFSET(Table7[[#This Row],[Investment Increase]],0,-1)-SUM($J$2:$J$28*($E$2:$E$28=$Q$31))</f>
        <v>355.29506499999934</v>
      </c>
    </row>
    <row r="309" spans="22:43" x14ac:dyDescent="0.45">
      <c r="V309" s="9">
        <v>44301</v>
      </c>
      <c r="W309" s="3">
        <v>176.53</v>
      </c>
      <c r="X309" s="2" cm="1">
        <f t="array" ref="X309">SUM($F$2:$F$28*($C$2:$C$28=$Q$2))</f>
        <v>3.8419999999999996</v>
      </c>
      <c r="Y309" s="3">
        <f t="shared" si="24"/>
        <v>678.22825999999998</v>
      </c>
      <c r="Z309" s="3">
        <v>179.51</v>
      </c>
      <c r="AA309" s="2" cm="1">
        <f t="array" ref="AA309">SUM($F$2:$F$28*($C$2:$C$28=$Q$3))</f>
        <v>2.1331000000000002</v>
      </c>
      <c r="AB309" s="3">
        <f t="shared" si="25"/>
        <v>382.912781</v>
      </c>
      <c r="AC309" s="3">
        <v>19.39</v>
      </c>
      <c r="AD309" s="2" cm="1">
        <f t="array" ref="AD309">SUM($F$2:$F$28*($C$2:$C$28=$Q$4))</f>
        <v>12.567</v>
      </c>
      <c r="AE309" s="3">
        <f t="shared" si="26"/>
        <v>243.67413000000002</v>
      </c>
      <c r="AF309" s="3">
        <v>14.89</v>
      </c>
      <c r="AG309" s="2" cm="1">
        <f t="array" ref="AG309">SUM($F$2:$F$28*($C$2:$C$28=$Q$5))</f>
        <v>8.8089999999999993</v>
      </c>
      <c r="AH309" s="3">
        <f t="shared" si="27"/>
        <v>131.16601</v>
      </c>
      <c r="AI309" s="3">
        <v>21.56</v>
      </c>
      <c r="AJ309" s="2" cm="1">
        <f t="array" ref="AJ309">SUM($F$2:$F$28*($C$2:$C$28=$Q$6))</f>
        <v>0</v>
      </c>
      <c r="AK309" s="3">
        <f t="shared" si="28"/>
        <v>0</v>
      </c>
      <c r="AL309" s="3">
        <v>15.8</v>
      </c>
      <c r="AM309" s="2" cm="1">
        <f t="array" ref="AM309">SUM($F$2:$F$28*($C$2:$C$28=$Q$8))</f>
        <v>0</v>
      </c>
      <c r="AN309" s="3">
        <f t="shared" si="29"/>
        <v>0</v>
      </c>
      <c r="AO309" s="3">
        <f>SUM(J2:J28)</f>
        <v>2358.2399999999998</v>
      </c>
      <c r="AP3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3794.2211809999999</v>
      </c>
      <c r="AQ309" s="3" cm="1">
        <f t="array" aca="1" ref="AQ309" ca="1">OFFSET(Table7[[#This Row],[Investment Increase]],0,-1)-SUM($J$2:$J$28*($E$2:$E$28=$Q$31))</f>
        <v>355.22118099999989</v>
      </c>
    </row>
    <row r="310" spans="22:43" x14ac:dyDescent="0.45">
      <c r="V310" s="9">
        <v>44300</v>
      </c>
      <c r="W310" s="3">
        <v>174.25</v>
      </c>
      <c r="X310" s="2" cm="1">
        <f t="array" ref="X310">SUM($F$2:$F$28*($C$2:$C$28=$Q$2))</f>
        <v>3.8419999999999996</v>
      </c>
      <c r="Y310" s="3">
        <f t="shared" si="24"/>
        <v>669.46849999999995</v>
      </c>
      <c r="Z310" s="3">
        <v>176.91</v>
      </c>
      <c r="AA310" s="2" cm="1">
        <f t="array" ref="AA310">SUM($F$2:$F$28*($C$2:$C$28=$Q$3))</f>
        <v>2.1331000000000002</v>
      </c>
      <c r="AB310" s="3">
        <f t="shared" si="25"/>
        <v>377.36672100000004</v>
      </c>
      <c r="AC310" s="3">
        <v>19.100000000000001</v>
      </c>
      <c r="AD310" s="2" cm="1">
        <f t="array" ref="AD310">SUM($F$2:$F$28*($C$2:$C$28=$Q$4))</f>
        <v>12.567</v>
      </c>
      <c r="AE310" s="3">
        <f t="shared" si="26"/>
        <v>240.02970000000002</v>
      </c>
      <c r="AF310" s="3">
        <v>14.71</v>
      </c>
      <c r="AG310" s="2" cm="1">
        <f t="array" ref="AG310">SUM($F$2:$F$28*($C$2:$C$28=$Q$5))</f>
        <v>8.8089999999999993</v>
      </c>
      <c r="AH310" s="3">
        <f t="shared" si="27"/>
        <v>129.58038999999999</v>
      </c>
      <c r="AI310" s="3">
        <v>21.34</v>
      </c>
      <c r="AJ310" s="2" cm="1">
        <f t="array" ref="AJ310">SUM($F$2:$F$28*($C$2:$C$28=$Q$6))</f>
        <v>0</v>
      </c>
      <c r="AK310" s="3">
        <f t="shared" si="28"/>
        <v>0</v>
      </c>
      <c r="AL310" s="3">
        <v>15.62</v>
      </c>
      <c r="AM310" s="2" cm="1">
        <f t="array" ref="AM310">SUM($F$2:$F$28*($C$2:$C$28=$Q$8))</f>
        <v>0</v>
      </c>
      <c r="AN310" s="3">
        <f t="shared" si="29"/>
        <v>0</v>
      </c>
      <c r="AO310" s="3">
        <f>SUM(J2:J28)</f>
        <v>2358.2399999999998</v>
      </c>
      <c r="AP3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3774.6853110000002</v>
      </c>
      <c r="AQ310" s="3" cm="1">
        <f t="array" aca="1" ref="AQ310" ca="1">OFFSET(Table7[[#This Row],[Investment Increase]],0,-1)-SUM($J$2:$J$28*($E$2:$E$28=$Q$31))</f>
        <v>335.68531100000018</v>
      </c>
    </row>
    <row r="311" spans="22:43" x14ac:dyDescent="0.45">
      <c r="V311" s="9">
        <v>44299</v>
      </c>
      <c r="W311" s="3">
        <v>175.99</v>
      </c>
      <c r="X311" s="2" cm="1">
        <f t="array" ref="X311">SUM($F$2:$F$28*($C$2:$C$28=$Q$2))</f>
        <v>3.8419999999999996</v>
      </c>
      <c r="Y311" s="3">
        <f t="shared" si="24"/>
        <v>676.15357999999992</v>
      </c>
      <c r="Z311" s="3">
        <v>178.82</v>
      </c>
      <c r="AA311" s="2" cm="1">
        <f t="array" ref="AA311">SUM($F$2:$F$28*($C$2:$C$28=$Q$3))</f>
        <v>2.1331000000000002</v>
      </c>
      <c r="AB311" s="3">
        <f t="shared" si="25"/>
        <v>381.44094200000001</v>
      </c>
      <c r="AC311" s="3">
        <v>19.3</v>
      </c>
      <c r="AD311" s="2" cm="1">
        <f t="array" ref="AD311">SUM($F$2:$F$28*($C$2:$C$28=$Q$4))</f>
        <v>12.567</v>
      </c>
      <c r="AE311" s="3">
        <f t="shared" si="26"/>
        <v>242.54310000000001</v>
      </c>
      <c r="AF311" s="3">
        <v>14.78</v>
      </c>
      <c r="AG311" s="2" cm="1">
        <f t="array" ref="AG311">SUM($F$2:$F$28*($C$2:$C$28=$Q$5))</f>
        <v>8.8089999999999993</v>
      </c>
      <c r="AH311" s="3">
        <f t="shared" si="27"/>
        <v>130.19701999999998</v>
      </c>
      <c r="AI311" s="3">
        <v>21.4</v>
      </c>
      <c r="AJ311" s="2" cm="1">
        <f t="array" ref="AJ311">SUM($F$2:$F$28*($C$2:$C$28=$Q$6))</f>
        <v>0</v>
      </c>
      <c r="AK311" s="3">
        <f t="shared" si="28"/>
        <v>0</v>
      </c>
      <c r="AL311" s="3">
        <v>15.25</v>
      </c>
      <c r="AM311" s="2" cm="1">
        <f t="array" ref="AM311">SUM($F$2:$F$28*($C$2:$C$28=$Q$8))</f>
        <v>0</v>
      </c>
      <c r="AN311" s="3">
        <f t="shared" si="29"/>
        <v>0</v>
      </c>
      <c r="AO311" s="3">
        <f>SUM(J2:J28)</f>
        <v>2358.2399999999998</v>
      </c>
      <c r="AP3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3788.5746419999996</v>
      </c>
      <c r="AQ311" s="3" cm="1">
        <f t="array" aca="1" ref="AQ311" ca="1">OFFSET(Table7[[#This Row],[Investment Increase]],0,-1)-SUM($J$2:$J$28*($E$2:$E$28=$Q$31))</f>
        <v>349.57464199999959</v>
      </c>
    </row>
    <row r="312" spans="22:43" x14ac:dyDescent="0.45">
      <c r="V312" s="9">
        <v>44298</v>
      </c>
      <c r="W312" s="3">
        <v>174.15</v>
      </c>
      <c r="X312" s="2" cm="1">
        <f t="array" ref="X312">SUM($F$2:$F$28*($C$2:$C$28=$Q$2))</f>
        <v>3.8419999999999996</v>
      </c>
      <c r="Y312" s="3">
        <f t="shared" si="24"/>
        <v>669.08429999999998</v>
      </c>
      <c r="Z312" s="3">
        <v>177.07</v>
      </c>
      <c r="AA312" s="2" cm="1">
        <f t="array" ref="AA312">SUM($F$2:$F$28*($C$2:$C$28=$Q$3))</f>
        <v>2.1331000000000002</v>
      </c>
      <c r="AB312" s="3">
        <f t="shared" si="25"/>
        <v>377.70801700000004</v>
      </c>
      <c r="AC312" s="3">
        <v>19.16</v>
      </c>
      <c r="AD312" s="2" cm="1">
        <f t="array" ref="AD312">SUM($F$2:$F$28*($C$2:$C$28=$Q$4))</f>
        <v>12.567</v>
      </c>
      <c r="AE312" s="3">
        <f t="shared" si="26"/>
        <v>240.78372000000002</v>
      </c>
      <c r="AF312" s="3">
        <v>14.71</v>
      </c>
      <c r="AG312" s="2" cm="1">
        <f t="array" ref="AG312">SUM($F$2:$F$28*($C$2:$C$28=$Q$5))</f>
        <v>8.8089999999999993</v>
      </c>
      <c r="AH312" s="3">
        <f t="shared" si="27"/>
        <v>129.58038999999999</v>
      </c>
      <c r="AI312" s="3">
        <v>21.33</v>
      </c>
      <c r="AJ312" s="2" cm="1">
        <f t="array" ref="AJ312">SUM($F$2:$F$28*($C$2:$C$28=$Q$6))</f>
        <v>0</v>
      </c>
      <c r="AK312" s="3">
        <f t="shared" si="28"/>
        <v>0</v>
      </c>
      <c r="AL312" s="3">
        <v>15.21</v>
      </c>
      <c r="AM312" s="2" cm="1">
        <f t="array" ref="AM312">SUM($F$2:$F$28*($C$2:$C$28=$Q$8))</f>
        <v>0</v>
      </c>
      <c r="AN312" s="3">
        <f t="shared" si="29"/>
        <v>0</v>
      </c>
      <c r="AO312" s="3">
        <f>SUM(J2:J28)</f>
        <v>2358.2399999999998</v>
      </c>
      <c r="AP3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3775.3964269999997</v>
      </c>
      <c r="AQ312" s="3" cm="1">
        <f t="array" aca="1" ref="AQ312" ca="1">OFFSET(Table7[[#This Row],[Investment Increase]],0,-1)-SUM($J$2:$J$28*($E$2:$E$28=$Q$31))</f>
        <v>336.39642699999968</v>
      </c>
    </row>
    <row r="313" spans="22:43" x14ac:dyDescent="0.45">
      <c r="V313" s="9">
        <v>44295</v>
      </c>
      <c r="W313" s="3">
        <v>174.78</v>
      </c>
      <c r="X313" s="2" cm="1">
        <f t="array" ref="X313">SUM($F$2:$F$28*($C$2:$C$28=$Q$2))</f>
        <v>3.8419999999999996</v>
      </c>
      <c r="Y313" s="3">
        <f t="shared" si="24"/>
        <v>671.50475999999992</v>
      </c>
      <c r="Z313" s="3">
        <v>177.18</v>
      </c>
      <c r="AA313" s="2" cm="1">
        <f t="array" ref="AA313">SUM($F$2:$F$28*($C$2:$C$28=$Q$3))</f>
        <v>2.1331000000000002</v>
      </c>
      <c r="AB313" s="3">
        <f t="shared" si="25"/>
        <v>377.94265800000005</v>
      </c>
      <c r="AC313" s="3">
        <v>19.22</v>
      </c>
      <c r="AD313" s="2" cm="1">
        <f t="array" ref="AD313">SUM($F$2:$F$28*($C$2:$C$28=$Q$4))</f>
        <v>12.567</v>
      </c>
      <c r="AE313" s="3">
        <f t="shared" si="26"/>
        <v>241.53773999999999</v>
      </c>
      <c r="AF313" s="3">
        <v>14.72</v>
      </c>
      <c r="AG313" s="2" cm="1">
        <f t="array" ref="AG313">SUM($F$2:$F$28*($C$2:$C$28=$Q$5))</f>
        <v>8.8089999999999993</v>
      </c>
      <c r="AH313" s="3">
        <f t="shared" si="27"/>
        <v>129.66847999999999</v>
      </c>
      <c r="AI313" s="3">
        <v>21.34</v>
      </c>
      <c r="AJ313" s="2" cm="1">
        <f t="array" ref="AJ313">SUM($F$2:$F$28*($C$2:$C$28=$Q$6))</f>
        <v>0</v>
      </c>
      <c r="AK313" s="3">
        <f t="shared" si="28"/>
        <v>0</v>
      </c>
      <c r="AL313" s="3">
        <v>15.38</v>
      </c>
      <c r="AM313" s="2" cm="1">
        <f t="array" ref="AM313">SUM($F$2:$F$28*($C$2:$C$28=$Q$8))</f>
        <v>0</v>
      </c>
      <c r="AN313" s="3">
        <f t="shared" si="29"/>
        <v>0</v>
      </c>
      <c r="AO313" s="3">
        <f>SUM(J2:J28)</f>
        <v>2358.2399999999998</v>
      </c>
      <c r="AP3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3778.8936379999996</v>
      </c>
      <c r="AQ313" s="3" cm="1">
        <f t="array" aca="1" ref="AQ313" ca="1">OFFSET(Table7[[#This Row],[Investment Increase]],0,-1)-SUM($J$2:$J$28*($E$2:$E$28=$Q$31))</f>
        <v>339.89363799999956</v>
      </c>
    </row>
    <row r="314" spans="22:43" x14ac:dyDescent="0.45">
      <c r="V314" s="9">
        <v>44294</v>
      </c>
      <c r="W314" s="3">
        <v>173.88</v>
      </c>
      <c r="X314" s="2" cm="1">
        <f t="array" ref="X314">SUM($F$2:$F$28*($C$2:$C$28=$Q$2))</f>
        <v>3.8419999999999996</v>
      </c>
      <c r="Y314" s="3">
        <f t="shared" si="24"/>
        <v>668.0469599999999</v>
      </c>
      <c r="Z314" s="3">
        <v>176.23</v>
      </c>
      <c r="AA314" s="2" cm="1">
        <f t="array" ref="AA314">SUM($F$2:$F$28*($C$2:$C$28=$Q$3))</f>
        <v>2.1331000000000002</v>
      </c>
      <c r="AB314" s="3">
        <f t="shared" si="25"/>
        <v>375.91621300000003</v>
      </c>
      <c r="AC314" s="3">
        <v>19.100000000000001</v>
      </c>
      <c r="AD314" s="2" cm="1">
        <f t="array" ref="AD314">SUM($F$2:$F$28*($C$2:$C$28=$Q$4))</f>
        <v>12.567</v>
      </c>
      <c r="AE314" s="3">
        <f t="shared" si="26"/>
        <v>240.02970000000002</v>
      </c>
      <c r="AF314" s="3">
        <v>14.61</v>
      </c>
      <c r="AG314" s="2" cm="1">
        <f t="array" ref="AG314">SUM($F$2:$F$28*($C$2:$C$28=$Q$5))</f>
        <v>8.8089999999999993</v>
      </c>
      <c r="AH314" s="3">
        <f t="shared" si="27"/>
        <v>128.69949</v>
      </c>
      <c r="AI314" s="3">
        <v>21.18</v>
      </c>
      <c r="AJ314" s="2" cm="1">
        <f t="array" ref="AJ314">SUM($F$2:$F$28*($C$2:$C$28=$Q$6))</f>
        <v>0</v>
      </c>
      <c r="AK314" s="3">
        <f t="shared" si="28"/>
        <v>0</v>
      </c>
      <c r="AL314" s="3">
        <v>15.43</v>
      </c>
      <c r="AM314" s="2" cm="1">
        <f t="array" ref="AM314">SUM($F$2:$F$28*($C$2:$C$28=$Q$8))</f>
        <v>0</v>
      </c>
      <c r="AN314" s="3">
        <f t="shared" si="29"/>
        <v>0</v>
      </c>
      <c r="AO314" s="3">
        <f>SUM(J2:J28)</f>
        <v>2358.2399999999998</v>
      </c>
      <c r="AP3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3770.9323629999999</v>
      </c>
      <c r="AQ314" s="3" cm="1">
        <f t="array" aca="1" ref="AQ314" ca="1">OFFSET(Table7[[#This Row],[Investment Increase]],0,-1)-SUM($J$2:$J$28*($E$2:$E$28=$Q$31))</f>
        <v>331.9323629999999</v>
      </c>
    </row>
    <row r="315" spans="22:43" x14ac:dyDescent="0.45">
      <c r="V315" s="9">
        <v>44293</v>
      </c>
      <c r="W315" s="3">
        <v>172.1</v>
      </c>
      <c r="X315" s="2" cm="1">
        <f t="array" ref="X315">SUM($F$2:$F$28*($C$2:$C$28=$Q$2))</f>
        <v>3.8419999999999996</v>
      </c>
      <c r="Y315" s="3">
        <f t="shared" si="24"/>
        <v>661.20819999999992</v>
      </c>
      <c r="Z315" s="3">
        <v>174.07</v>
      </c>
      <c r="AA315" s="2" cm="1">
        <f t="array" ref="AA315">SUM($F$2:$F$28*($C$2:$C$28=$Q$3))</f>
        <v>2.1331000000000002</v>
      </c>
      <c r="AB315" s="3">
        <f t="shared" si="25"/>
        <v>371.308717</v>
      </c>
      <c r="AC315" s="3">
        <v>18.899999999999999</v>
      </c>
      <c r="AD315" s="2" cm="1">
        <f t="array" ref="AD315">SUM($F$2:$F$28*($C$2:$C$28=$Q$4))</f>
        <v>12.567</v>
      </c>
      <c r="AE315" s="3">
        <f t="shared" si="26"/>
        <v>237.51629999999997</v>
      </c>
      <c r="AF315" s="3">
        <v>14.53</v>
      </c>
      <c r="AG315" s="2" cm="1">
        <f t="array" ref="AG315">SUM($F$2:$F$28*($C$2:$C$28=$Q$5))</f>
        <v>8.8089999999999993</v>
      </c>
      <c r="AH315" s="3">
        <f t="shared" si="27"/>
        <v>127.99476999999999</v>
      </c>
      <c r="AI315" s="3">
        <v>21.09</v>
      </c>
      <c r="AJ315" s="2" cm="1">
        <f t="array" ref="AJ315">SUM($F$2:$F$28*($C$2:$C$28=$Q$6))</f>
        <v>0</v>
      </c>
      <c r="AK315" s="3">
        <f t="shared" si="28"/>
        <v>0</v>
      </c>
      <c r="AL315" s="3">
        <v>15.41</v>
      </c>
      <c r="AM315" s="2" cm="1">
        <f t="array" ref="AM315">SUM($F$2:$F$28*($C$2:$C$28=$Q$8))</f>
        <v>0</v>
      </c>
      <c r="AN315" s="3">
        <f t="shared" si="29"/>
        <v>0</v>
      </c>
      <c r="AO315" s="3">
        <f>SUM(J2:J28)</f>
        <v>2358.2399999999998</v>
      </c>
      <c r="AP3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3756.2679869999997</v>
      </c>
      <c r="AQ315" s="3" cm="1">
        <f t="array" aca="1" ref="AQ315" ca="1">OFFSET(Table7[[#This Row],[Investment Increase]],0,-1)-SUM($J$2:$J$28*($E$2:$E$28=$Q$31))</f>
        <v>317.26798699999972</v>
      </c>
    </row>
    <row r="316" spans="22:43" x14ac:dyDescent="0.45">
      <c r="V316" s="9">
        <v>44292</v>
      </c>
      <c r="W316" s="3">
        <v>172.22</v>
      </c>
      <c r="X316" s="2" cm="1">
        <f t="array" ref="X316">SUM($F$2:$F$28*($C$2:$C$28=$Q$2))</f>
        <v>3.8419999999999996</v>
      </c>
      <c r="Y316" s="3">
        <f t="shared" si="24"/>
        <v>661.66923999999995</v>
      </c>
      <c r="Z316" s="3">
        <v>174.37</v>
      </c>
      <c r="AA316" s="2" cm="1">
        <f t="array" ref="AA316">SUM($F$2:$F$28*($C$2:$C$28=$Q$3))</f>
        <v>2.1331000000000002</v>
      </c>
      <c r="AB316" s="3">
        <f t="shared" si="25"/>
        <v>371.94864700000005</v>
      </c>
      <c r="AC316" s="3">
        <v>18.850000000000001</v>
      </c>
      <c r="AD316" s="2" cm="1">
        <f t="array" ref="AD316">SUM($F$2:$F$28*($C$2:$C$28=$Q$4))</f>
        <v>12.567</v>
      </c>
      <c r="AE316" s="3">
        <f t="shared" si="26"/>
        <v>236.88795000000002</v>
      </c>
      <c r="AF316" s="3">
        <v>14.51</v>
      </c>
      <c r="AG316" s="2" cm="1">
        <f t="array" ref="AG316">SUM($F$2:$F$28*($C$2:$C$28=$Q$5))</f>
        <v>8.8089999999999993</v>
      </c>
      <c r="AH316" s="3">
        <f t="shared" si="27"/>
        <v>127.81858999999999</v>
      </c>
      <c r="AI316" s="3">
        <v>21.04</v>
      </c>
      <c r="AJ316" s="2" cm="1">
        <f t="array" ref="AJ316">SUM($F$2:$F$28*($C$2:$C$28=$Q$6))</f>
        <v>0</v>
      </c>
      <c r="AK316" s="3">
        <f t="shared" si="28"/>
        <v>0</v>
      </c>
      <c r="AL316" s="3">
        <v>15.4</v>
      </c>
      <c r="AM316" s="2" cm="1">
        <f t="array" ref="AM316">SUM($F$2:$F$28*($C$2:$C$28=$Q$8))</f>
        <v>0</v>
      </c>
      <c r="AN316" s="3">
        <f t="shared" si="29"/>
        <v>0</v>
      </c>
      <c r="AO316" s="3">
        <f>SUM(J2:J28)</f>
        <v>2358.2399999999998</v>
      </c>
      <c r="AP3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3756.5644269999998</v>
      </c>
      <c r="AQ316" s="3" cm="1">
        <f t="array" aca="1" ref="AQ316" ca="1">OFFSET(Table7[[#This Row],[Investment Increase]],0,-1)-SUM($J$2:$J$28*($E$2:$E$28=$Q$31))</f>
        <v>317.5644269999998</v>
      </c>
    </row>
    <row r="317" spans="22:43" x14ac:dyDescent="0.45">
      <c r="V317" s="9">
        <v>44291</v>
      </c>
      <c r="W317" s="3">
        <v>172.3</v>
      </c>
      <c r="X317" s="2" cm="1">
        <f t="array" ref="X317">SUM($F$2:$F$28*($C$2:$C$28=$Q$2))</f>
        <v>3.8419999999999996</v>
      </c>
      <c r="Y317" s="3">
        <f t="shared" si="24"/>
        <v>661.97659999999996</v>
      </c>
      <c r="Z317" s="3">
        <v>173.62</v>
      </c>
      <c r="AA317" s="2" cm="1">
        <f t="array" ref="AA317">SUM($F$2:$F$28*($C$2:$C$28=$Q$3))</f>
        <v>2.1331000000000002</v>
      </c>
      <c r="AB317" s="3">
        <f t="shared" si="25"/>
        <v>370.34882200000004</v>
      </c>
      <c r="AC317" s="3">
        <v>18.84</v>
      </c>
      <c r="AD317" s="2" cm="1">
        <f t="array" ref="AD317">SUM($F$2:$F$28*($C$2:$C$28=$Q$4))</f>
        <v>12.567</v>
      </c>
      <c r="AE317" s="3">
        <f t="shared" si="26"/>
        <v>236.76228</v>
      </c>
      <c r="AF317" s="3">
        <v>14.51</v>
      </c>
      <c r="AG317" s="2" cm="1">
        <f t="array" ref="AG317">SUM($F$2:$F$28*($C$2:$C$28=$Q$5))</f>
        <v>8.8089999999999993</v>
      </c>
      <c r="AH317" s="3">
        <f t="shared" si="27"/>
        <v>127.81858999999999</v>
      </c>
      <c r="AI317" s="3">
        <v>21.07</v>
      </c>
      <c r="AJ317" s="2" cm="1">
        <f t="array" ref="AJ317">SUM($F$2:$F$28*($C$2:$C$28=$Q$6))</f>
        <v>0</v>
      </c>
      <c r="AK317" s="3">
        <f t="shared" si="28"/>
        <v>0</v>
      </c>
      <c r="AL317" s="3">
        <v>15.38</v>
      </c>
      <c r="AM317" s="2" cm="1">
        <f t="array" ref="AM317">SUM($F$2:$F$28*($C$2:$C$28=$Q$8))</f>
        <v>0</v>
      </c>
      <c r="AN317" s="3">
        <f t="shared" si="29"/>
        <v>0</v>
      </c>
      <c r="AO317" s="3">
        <f>SUM(J2:J28)</f>
        <v>2358.2399999999998</v>
      </c>
      <c r="AP3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3755.1462919999994</v>
      </c>
      <c r="AQ317" s="3" cm="1">
        <f t="array" aca="1" ref="AQ317" ca="1">OFFSET(Table7[[#This Row],[Investment Increase]],0,-1)-SUM($J$2:$J$28*($E$2:$E$28=$Q$31))</f>
        <v>316.14629199999945</v>
      </c>
    </row>
    <row r="318" spans="22:43" x14ac:dyDescent="0.45">
      <c r="V318" s="9">
        <v>44287</v>
      </c>
      <c r="W318" s="3">
        <v>169.44</v>
      </c>
      <c r="X318" s="2" cm="1">
        <f t="array" ref="X318">SUM($F$2:$F$28*($C$2:$C$28=$Q$2))</f>
        <v>3.8419999999999996</v>
      </c>
      <c r="Y318" s="3">
        <f t="shared" si="24"/>
        <v>650.98847999999998</v>
      </c>
      <c r="Z318" s="3">
        <v>171.2</v>
      </c>
      <c r="AA318" s="2" cm="1">
        <f t="array" ref="AA318">SUM($F$2:$F$28*($C$2:$C$28=$Q$3))</f>
        <v>2.1331000000000002</v>
      </c>
      <c r="AB318" s="3">
        <f t="shared" si="25"/>
        <v>365.18672000000004</v>
      </c>
      <c r="AC318" s="3">
        <v>18.489999999999998</v>
      </c>
      <c r="AD318" s="2" cm="1">
        <f t="array" ref="AD318">SUM($F$2:$F$28*($C$2:$C$28=$Q$4))</f>
        <v>12.567</v>
      </c>
      <c r="AE318" s="3">
        <f t="shared" si="26"/>
        <v>232.36382999999998</v>
      </c>
      <c r="AF318" s="3">
        <v>14.31</v>
      </c>
      <c r="AG318" s="2" cm="1">
        <f t="array" ref="AG318">SUM($F$2:$F$28*($C$2:$C$28=$Q$5))</f>
        <v>8.8089999999999993</v>
      </c>
      <c r="AH318" s="3">
        <f t="shared" si="27"/>
        <v>126.05678999999999</v>
      </c>
      <c r="AI318" s="3">
        <v>20.78</v>
      </c>
      <c r="AJ318" s="2" cm="1">
        <f t="array" ref="AJ318">SUM($F$2:$F$28*($C$2:$C$28=$Q$6))</f>
        <v>0</v>
      </c>
      <c r="AK318" s="3">
        <f t="shared" si="28"/>
        <v>0</v>
      </c>
      <c r="AL318" s="3">
        <v>15.26</v>
      </c>
      <c r="AM318" s="2" cm="1">
        <f t="array" ref="AM318">SUM($F$2:$F$28*($C$2:$C$28=$Q$8))</f>
        <v>0</v>
      </c>
      <c r="AN318" s="3">
        <f t="shared" si="29"/>
        <v>0</v>
      </c>
      <c r="AO318" s="3">
        <f>SUM(J2:J28)</f>
        <v>2358.2399999999998</v>
      </c>
      <c r="AP3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3732.8358199999998</v>
      </c>
      <c r="AQ318" s="3" cm="1">
        <f t="array" aca="1" ref="AQ318" ca="1">OFFSET(Table7[[#This Row],[Investment Increase]],0,-1)-SUM($J$2:$J$28*($E$2:$E$28=$Q$31))</f>
        <v>293.83581999999979</v>
      </c>
    </row>
    <row r="319" spans="22:43" x14ac:dyDescent="0.45">
      <c r="V319" s="9">
        <v>44286</v>
      </c>
      <c r="W319" s="3">
        <v>166.5</v>
      </c>
      <c r="X319" s="2" cm="1">
        <f t="array" ref="X319">SUM($F$2:$F$28*($C$2:$C$28=$Q$2))</f>
        <v>3.8419999999999996</v>
      </c>
      <c r="Y319" s="3">
        <f t="shared" si="24"/>
        <v>639.69299999999998</v>
      </c>
      <c r="Z319" s="3">
        <v>168.14</v>
      </c>
      <c r="AA319" s="2" cm="1">
        <f t="array" ref="AA319">SUM($F$2:$F$28*($C$2:$C$28=$Q$3))</f>
        <v>2.1331000000000002</v>
      </c>
      <c r="AB319" s="3">
        <f t="shared" si="25"/>
        <v>358.65943400000003</v>
      </c>
      <c r="AC319" s="3">
        <v>18.12</v>
      </c>
      <c r="AD319" s="2" cm="1">
        <f t="array" ref="AD319">SUM($F$2:$F$28*($C$2:$C$28=$Q$4))</f>
        <v>12.567</v>
      </c>
      <c r="AE319" s="3">
        <f t="shared" si="26"/>
        <v>227.71404000000001</v>
      </c>
      <c r="AF319" s="3">
        <v>14.13</v>
      </c>
      <c r="AG319" s="2" cm="1">
        <f t="array" ref="AG319">SUM($F$2:$F$28*($C$2:$C$28=$Q$5))</f>
        <v>8.8089999999999993</v>
      </c>
      <c r="AH319" s="3">
        <f t="shared" si="27"/>
        <v>124.47117</v>
      </c>
      <c r="AI319" s="3">
        <v>20.52</v>
      </c>
      <c r="AJ319" s="2" cm="1">
        <f t="array" ref="AJ319">SUM($F$2:$F$28*($C$2:$C$28=$Q$6))</f>
        <v>0</v>
      </c>
      <c r="AK319" s="3">
        <f t="shared" si="28"/>
        <v>0</v>
      </c>
      <c r="AL319" s="3">
        <v>15.06</v>
      </c>
      <c r="AM319" s="2" cm="1">
        <f t="array" ref="AM319">SUM($F$2:$F$28*($C$2:$C$28=$Q$8))</f>
        <v>0</v>
      </c>
      <c r="AN319" s="3">
        <f t="shared" si="29"/>
        <v>0</v>
      </c>
      <c r="AO319" s="3">
        <f>SUM(J2:J28)</f>
        <v>2358.2399999999998</v>
      </c>
      <c r="AP3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3708.7776439999998</v>
      </c>
      <c r="AQ319" s="3" cm="1">
        <f t="array" aca="1" ref="AQ319" ca="1">OFFSET(Table7[[#This Row],[Investment Increase]],0,-1)-SUM($J$2:$J$28*($E$2:$E$28=$Q$31))</f>
        <v>269.77764399999978</v>
      </c>
    </row>
    <row r="320" spans="22:43" x14ac:dyDescent="0.45">
      <c r="V320" s="9">
        <v>44285</v>
      </c>
      <c r="W320" s="3">
        <v>163.97</v>
      </c>
      <c r="X320" s="2" cm="1">
        <f t="array" ref="X320">SUM($F$2:$F$28*($C$2:$C$28=$Q$2))</f>
        <v>3.8419999999999996</v>
      </c>
      <c r="Y320" s="3">
        <f t="shared" si="24"/>
        <v>629.97273999999993</v>
      </c>
      <c r="Z320" s="3">
        <v>165.36</v>
      </c>
      <c r="AA320" s="2" cm="1">
        <f t="array" ref="AA320">SUM($F$2:$F$28*($C$2:$C$28=$Q$3))</f>
        <v>2.1331000000000002</v>
      </c>
      <c r="AB320" s="3">
        <f t="shared" si="25"/>
        <v>352.72941600000007</v>
      </c>
      <c r="AC320" s="3">
        <v>17.89</v>
      </c>
      <c r="AD320" s="2" cm="1">
        <f t="array" ref="AD320">SUM($F$2:$F$28*($C$2:$C$28=$Q$4))</f>
        <v>12.567</v>
      </c>
      <c r="AE320" s="3">
        <f t="shared" si="26"/>
        <v>224.82363000000001</v>
      </c>
      <c r="AF320" s="3">
        <v>14.06</v>
      </c>
      <c r="AG320" s="2" cm="1">
        <f t="array" ref="AG320">SUM($F$2:$F$28*($C$2:$C$28=$Q$5))</f>
        <v>8.8089999999999993</v>
      </c>
      <c r="AH320" s="3">
        <f t="shared" si="27"/>
        <v>123.85454</v>
      </c>
      <c r="AI320" s="3">
        <v>20.45</v>
      </c>
      <c r="AJ320" s="2" cm="1">
        <f t="array" ref="AJ320">SUM($F$2:$F$28*($C$2:$C$28=$Q$6))</f>
        <v>0</v>
      </c>
      <c r="AK320" s="3">
        <f t="shared" si="28"/>
        <v>0</v>
      </c>
      <c r="AL320" s="3">
        <v>15.13</v>
      </c>
      <c r="AM320" s="2" cm="1">
        <f t="array" ref="AM320">SUM($F$2:$F$28*($C$2:$C$28=$Q$8))</f>
        <v>0</v>
      </c>
      <c r="AN320" s="3">
        <f t="shared" si="29"/>
        <v>0</v>
      </c>
      <c r="AO320" s="3">
        <f>SUM(J2:J28)</f>
        <v>2358.2399999999998</v>
      </c>
      <c r="AP3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3689.6203260000002</v>
      </c>
      <c r="AQ320" s="3" cm="1">
        <f t="array" aca="1" ref="AQ320" ca="1">OFFSET(Table7[[#This Row],[Investment Increase]],0,-1)-SUM($J$2:$J$28*($E$2:$E$28=$Q$31))</f>
        <v>250.6203260000002</v>
      </c>
    </row>
    <row r="321" spans="22:43" x14ac:dyDescent="0.45">
      <c r="V321" s="9">
        <v>44284</v>
      </c>
      <c r="W321" s="3">
        <v>164.14</v>
      </c>
      <c r="X321" s="2" cm="1">
        <f t="array" ref="X321">SUM($F$2:$F$28*($C$2:$C$28=$Q$2))</f>
        <v>3.8419999999999996</v>
      </c>
      <c r="Y321" s="3">
        <f t="shared" si="24"/>
        <v>630.62587999999994</v>
      </c>
      <c r="Z321" s="3">
        <v>164.42</v>
      </c>
      <c r="AA321" s="2" cm="1">
        <f t="array" ref="AA321">SUM($F$2:$F$28*($C$2:$C$28=$Q$3))</f>
        <v>2.1331000000000002</v>
      </c>
      <c r="AB321" s="3">
        <f t="shared" si="25"/>
        <v>350.72430200000002</v>
      </c>
      <c r="AC321" s="3">
        <v>17.91</v>
      </c>
      <c r="AD321" s="2" cm="1">
        <f t="array" ref="AD321">SUM($F$2:$F$28*($C$2:$C$28=$Q$4))</f>
        <v>12.567</v>
      </c>
      <c r="AE321" s="3">
        <f t="shared" si="26"/>
        <v>225.07497000000001</v>
      </c>
      <c r="AF321" s="3">
        <v>14.1</v>
      </c>
      <c r="AG321" s="2" cm="1">
        <f t="array" ref="AG321">SUM($F$2:$F$28*($C$2:$C$28=$Q$5))</f>
        <v>8.8089999999999993</v>
      </c>
      <c r="AH321" s="3">
        <f t="shared" si="27"/>
        <v>124.20689999999999</v>
      </c>
      <c r="AI321" s="3">
        <v>20.49</v>
      </c>
      <c r="AJ321" s="2" cm="1">
        <f t="array" ref="AJ321">SUM($F$2:$F$28*($C$2:$C$28=$Q$6))</f>
        <v>0</v>
      </c>
      <c r="AK321" s="3">
        <f t="shared" si="28"/>
        <v>0</v>
      </c>
      <c r="AL321" s="3">
        <v>15.16</v>
      </c>
      <c r="AM321" s="2" cm="1">
        <f t="array" ref="AM321">SUM($F$2:$F$28*($C$2:$C$28=$Q$8))</f>
        <v>0</v>
      </c>
      <c r="AN321" s="3">
        <f t="shared" si="29"/>
        <v>0</v>
      </c>
      <c r="AO321" s="3">
        <f>SUM(J2:J28)</f>
        <v>2358.2399999999998</v>
      </c>
      <c r="AP3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3688.8720519999997</v>
      </c>
      <c r="AQ321" s="3" cm="1">
        <f t="array" aca="1" ref="AQ321" ca="1">OFFSET(Table7[[#This Row],[Investment Increase]],0,-1)-SUM($J$2:$J$28*($E$2:$E$28=$Q$31))</f>
        <v>249.87205199999971</v>
      </c>
    </row>
    <row r="322" spans="22:43" x14ac:dyDescent="0.45">
      <c r="V322" s="9">
        <v>44281</v>
      </c>
      <c r="W322" s="3">
        <v>165.13</v>
      </c>
      <c r="X322" s="2" cm="1">
        <f t="array" ref="X322">SUM($F$2:$F$28*($C$2:$C$28=$Q$2))</f>
        <v>3.8419999999999996</v>
      </c>
      <c r="Y322" s="3">
        <f t="shared" ref="Y322:Y385" si="30">PRODUCT(W322,X322)</f>
        <v>634.42945999999995</v>
      </c>
      <c r="Z322" s="3">
        <v>165.96</v>
      </c>
      <c r="AA322" s="2" cm="1">
        <f t="array" ref="AA322">SUM($F$2:$F$28*($C$2:$C$28=$Q$3))</f>
        <v>2.1331000000000002</v>
      </c>
      <c r="AB322" s="3">
        <f t="shared" ref="AB322:AB385" si="31">PRODUCT(Z322,AA322)</f>
        <v>354.00927600000006</v>
      </c>
      <c r="AC322" s="3">
        <v>17.989999999999998</v>
      </c>
      <c r="AD322" s="2" cm="1">
        <f t="array" ref="AD322">SUM($F$2:$F$28*($C$2:$C$28=$Q$4))</f>
        <v>12.567</v>
      </c>
      <c r="AE322" s="3">
        <f t="shared" ref="AE322:AE385" si="32">PRODUCT(AC322,AD322)</f>
        <v>226.08032999999998</v>
      </c>
      <c r="AF322" s="3">
        <v>14.13</v>
      </c>
      <c r="AG322" s="2" cm="1">
        <f t="array" ref="AG322">SUM($F$2:$F$28*($C$2:$C$28=$Q$5))</f>
        <v>8.8089999999999993</v>
      </c>
      <c r="AH322" s="3">
        <f t="shared" ref="AH322:AH385" si="33">PRODUCT(AF322,AG322)</f>
        <v>124.47117</v>
      </c>
      <c r="AI322" s="3">
        <v>20.53</v>
      </c>
      <c r="AJ322" s="2" cm="1">
        <f t="array" ref="AJ322">SUM($F$2:$F$28*($C$2:$C$28=$Q$6))</f>
        <v>0</v>
      </c>
      <c r="AK322" s="3">
        <f t="shared" ref="AK322:AK385" si="34">PRODUCT(AI322,AJ322)</f>
        <v>0</v>
      </c>
      <c r="AL322" s="3">
        <v>15.27</v>
      </c>
      <c r="AM322" s="2" cm="1">
        <f t="array" ref="AM322">SUM($F$2:$F$28*($C$2:$C$28=$Q$8))</f>
        <v>0</v>
      </c>
      <c r="AN322" s="3">
        <f t="shared" ref="AN322:AN385" si="35">PRODUCT(AL322,AM322)</f>
        <v>0</v>
      </c>
      <c r="AO322" s="3">
        <f>SUM(J2:J28)</f>
        <v>2358.2399999999998</v>
      </c>
      <c r="AP3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3697.2302359999999</v>
      </c>
      <c r="AQ322" s="3" cm="1">
        <f t="array" aca="1" ref="AQ322" ca="1">OFFSET(Table7[[#This Row],[Investment Increase]],0,-1)-SUM($J$2:$J$28*($E$2:$E$28=$Q$31))</f>
        <v>258.23023599999988</v>
      </c>
    </row>
    <row r="323" spans="22:43" x14ac:dyDescent="0.45">
      <c r="V323" s="9">
        <v>44280</v>
      </c>
      <c r="W323" s="3">
        <v>163.1</v>
      </c>
      <c r="X323" s="2" cm="1">
        <f t="array" ref="X323">SUM($F$2:$F$27*($C$2:$C$27=$Q$2))</f>
        <v>3.8419999999999996</v>
      </c>
      <c r="Y323" s="3">
        <f t="shared" si="30"/>
        <v>626.63019999999995</v>
      </c>
      <c r="Z323" s="3">
        <v>163.72</v>
      </c>
      <c r="AA323" s="2" cm="1">
        <f t="array" ref="AA323">SUM($F$2:$F$27*($C$2:$C$27=$Q$3))</f>
        <v>2.1331000000000002</v>
      </c>
      <c r="AB323" s="3">
        <f t="shared" si="31"/>
        <v>349.23113200000006</v>
      </c>
      <c r="AC323" s="3">
        <v>17.73</v>
      </c>
      <c r="AD323" s="2" cm="1">
        <f t="array" ref="AD323">SUM($F$2:$F$27*($C$2:$C$27=$Q$4))</f>
        <v>12.567</v>
      </c>
      <c r="AE323" s="3">
        <f t="shared" si="32"/>
        <v>222.81291000000002</v>
      </c>
      <c r="AF323" s="3">
        <v>13.9</v>
      </c>
      <c r="AG323" s="2" cm="1">
        <f t="array" ref="AG323">SUM($F$2:$F$27*($C$2:$C$27=$Q$5))</f>
        <v>8.8089999999999993</v>
      </c>
      <c r="AH323" s="3">
        <f t="shared" si="33"/>
        <v>122.4451</v>
      </c>
      <c r="AI323" s="3">
        <v>20.16</v>
      </c>
      <c r="AJ323" s="2" cm="1">
        <f t="array" ref="AJ323">SUM($F$2:$F$27*($C$2:$C$27=$Q$6))</f>
        <v>0</v>
      </c>
      <c r="AK323" s="3">
        <f t="shared" si="34"/>
        <v>0</v>
      </c>
      <c r="AL323" s="3">
        <v>14.83</v>
      </c>
      <c r="AM323" s="2" cm="1">
        <f t="array" ref="AM323">SUM($F$2:$F$27*($C$2:$C$27=$Q$8))</f>
        <v>0</v>
      </c>
      <c r="AN323" s="3">
        <f t="shared" si="35"/>
        <v>0</v>
      </c>
      <c r="AO323" s="3">
        <f>SUM(J2:J27)</f>
        <v>719.2399999999999</v>
      </c>
      <c r="AP3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2040.3593419999997</v>
      </c>
      <c r="AQ323" s="3" cm="1">
        <f t="array" aca="1" ref="AQ323" ca="1">OFFSET(Table7[[#This Row],[Investment Increase]],0,-1)-SUM($J$2:$J$27*($E$2:$E$27=$Q$31))</f>
        <v>240.35934199999974</v>
      </c>
    </row>
    <row r="324" spans="22:43" x14ac:dyDescent="0.45">
      <c r="V324" s="9">
        <v>44279</v>
      </c>
      <c r="W324" s="3">
        <v>162.9</v>
      </c>
      <c r="X324" s="2" cm="1">
        <f t="array" ref="X324">SUM($F$2:$F$27*($C$2:$C$27=$Q$2))</f>
        <v>3.8419999999999996</v>
      </c>
      <c r="Y324" s="3">
        <f t="shared" si="30"/>
        <v>625.86180000000002</v>
      </c>
      <c r="Z324" s="3">
        <v>163.16999999999999</v>
      </c>
      <c r="AA324" s="2" cm="1">
        <f t="array" ref="AA324">SUM($F$2:$F$27*($C$2:$C$27=$Q$3))</f>
        <v>2.1331000000000002</v>
      </c>
      <c r="AB324" s="3">
        <f t="shared" si="31"/>
        <v>348.05792700000001</v>
      </c>
      <c r="AC324" s="3">
        <v>17.72</v>
      </c>
      <c r="AD324" s="2" cm="1">
        <f t="array" ref="AD324">SUM($F$2:$F$27*($C$2:$C$27=$Q$4))</f>
        <v>12.567</v>
      </c>
      <c r="AE324" s="3">
        <f t="shared" si="32"/>
        <v>222.68724</v>
      </c>
      <c r="AF324" s="3">
        <v>13.84</v>
      </c>
      <c r="AG324" s="2" cm="1">
        <f t="array" ref="AG324">SUM($F$2:$F$27*($C$2:$C$27=$Q$5))</f>
        <v>8.8089999999999993</v>
      </c>
      <c r="AH324" s="3">
        <f t="shared" si="33"/>
        <v>121.91655999999999</v>
      </c>
      <c r="AI324" s="3">
        <v>20.03</v>
      </c>
      <c r="AJ324" s="2" cm="1">
        <f t="array" ref="AJ324">SUM($F$2:$F$27*($C$2:$C$27=$Q$6))</f>
        <v>0</v>
      </c>
      <c r="AK324" s="3">
        <f t="shared" si="34"/>
        <v>0</v>
      </c>
      <c r="AL324" s="3">
        <v>14.83</v>
      </c>
      <c r="AM324" s="2" cm="1">
        <f t="array" ref="AM324">SUM($F$2:$F$27*($C$2:$C$27=$Q$8))</f>
        <v>0</v>
      </c>
      <c r="AN324" s="3">
        <f t="shared" si="35"/>
        <v>0</v>
      </c>
      <c r="AO324" s="3">
        <f>SUM(J2:J27)</f>
        <v>719.2399999999999</v>
      </c>
      <c r="AP3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2037.7635269999996</v>
      </c>
      <c r="AQ324" s="3" cm="1">
        <f t="array" aca="1" ref="AQ324" ca="1">OFFSET(Table7[[#This Row],[Investment Increase]],0,-1)-SUM($J$2:$J$27*($E$2:$E$27=$Q$31))</f>
        <v>237.76352699999961</v>
      </c>
    </row>
    <row r="325" spans="22:43" x14ac:dyDescent="0.45">
      <c r="V325" s="9">
        <v>44278</v>
      </c>
      <c r="W325" s="3">
        <v>166.25</v>
      </c>
      <c r="X325" s="2" cm="1">
        <f t="array" ref="X325">SUM($F$2:$F$27*($C$2:$C$27=$Q$2))</f>
        <v>3.8419999999999996</v>
      </c>
      <c r="Y325" s="3">
        <f t="shared" si="30"/>
        <v>638.73249999999996</v>
      </c>
      <c r="Z325" s="3">
        <v>167.33</v>
      </c>
      <c r="AA325" s="2" cm="1">
        <f t="array" ref="AA325">SUM($F$2:$F$27*($C$2:$C$27=$Q$3))</f>
        <v>2.1331000000000002</v>
      </c>
      <c r="AB325" s="3">
        <f t="shared" si="31"/>
        <v>356.93162300000006</v>
      </c>
      <c r="AC325" s="3">
        <v>18.03</v>
      </c>
      <c r="AD325" s="2" cm="1">
        <f t="array" ref="AD325">SUM($F$2:$F$27*($C$2:$C$27=$Q$4))</f>
        <v>12.567</v>
      </c>
      <c r="AE325" s="3">
        <f t="shared" si="32"/>
        <v>226.58301000000003</v>
      </c>
      <c r="AF325" s="3">
        <v>13.94</v>
      </c>
      <c r="AG325" s="2" cm="1">
        <f t="array" ref="AG325">SUM($F$2:$F$27*($C$2:$C$27=$Q$5))</f>
        <v>8.8089999999999993</v>
      </c>
      <c r="AH325" s="3">
        <f t="shared" si="33"/>
        <v>122.79745999999999</v>
      </c>
      <c r="AI325" s="3">
        <v>20.149999999999999</v>
      </c>
      <c r="AJ325" s="2" cm="1">
        <f t="array" ref="AJ325">SUM($F$2:$F$27*($C$2:$C$27=$Q$6))</f>
        <v>0</v>
      </c>
      <c r="AK325" s="3">
        <f t="shared" si="34"/>
        <v>0</v>
      </c>
      <c r="AL325" s="3">
        <v>14.75</v>
      </c>
      <c r="AM325" s="2" cm="1">
        <f t="array" ref="AM325">SUM($F$2:$F$27*($C$2:$C$27=$Q$8))</f>
        <v>0</v>
      </c>
      <c r="AN325" s="3">
        <f t="shared" si="35"/>
        <v>0</v>
      </c>
      <c r="AO325" s="3">
        <f>SUM(J2:J27)</f>
        <v>719.2399999999999</v>
      </c>
      <c r="AP3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2064.2845929999999</v>
      </c>
      <c r="AQ325" s="3" cm="1">
        <f t="array" aca="1" ref="AQ325" ca="1">OFFSET(Table7[[#This Row],[Investment Increase]],0,-1)-SUM($J$2:$J$27*($E$2:$E$27=$Q$31))</f>
        <v>264.28459299999986</v>
      </c>
    </row>
    <row r="326" spans="22:43" x14ac:dyDescent="0.45">
      <c r="V326" s="9">
        <v>44277</v>
      </c>
      <c r="W326" s="3">
        <v>168.13</v>
      </c>
      <c r="X326" s="2" cm="1">
        <f t="array" ref="X326">SUM($F$2:$F$27*($C$2:$C$27=$Q$2))</f>
        <v>3.8419999999999996</v>
      </c>
      <c r="Y326" s="3">
        <f t="shared" si="30"/>
        <v>645.9554599999999</v>
      </c>
      <c r="Z326" s="3">
        <v>169.73</v>
      </c>
      <c r="AA326" s="2" cm="1">
        <f t="array" ref="AA326">SUM($F$2:$F$27*($C$2:$C$27=$Q$3))</f>
        <v>2.1331000000000002</v>
      </c>
      <c r="AB326" s="3">
        <f t="shared" si="31"/>
        <v>362.051063</v>
      </c>
      <c r="AC326" s="3">
        <v>18.21</v>
      </c>
      <c r="AD326" s="2" cm="1">
        <f t="array" ref="AD326">SUM($F$2:$F$27*($C$2:$C$27=$Q$4))</f>
        <v>12.567</v>
      </c>
      <c r="AE326" s="3">
        <f t="shared" si="32"/>
        <v>228.84507000000002</v>
      </c>
      <c r="AF326" s="3">
        <v>14.04</v>
      </c>
      <c r="AG326" s="2" cm="1">
        <f t="array" ref="AG326">SUM($F$2:$F$27*($C$2:$C$27=$Q$5))</f>
        <v>8.8089999999999993</v>
      </c>
      <c r="AH326" s="3">
        <f t="shared" si="33"/>
        <v>123.67835999999998</v>
      </c>
      <c r="AI326" s="3">
        <v>20.329999999999998</v>
      </c>
      <c r="AJ326" s="2" cm="1">
        <f t="array" ref="AJ326">SUM($F$2:$F$27*($C$2:$C$27=$Q$6))</f>
        <v>0</v>
      </c>
      <c r="AK326" s="3">
        <f t="shared" si="34"/>
        <v>0</v>
      </c>
      <c r="AL326" s="3">
        <v>15.14</v>
      </c>
      <c r="AM326" s="2" cm="1">
        <f t="array" ref="AM326">SUM($F$2:$F$27*($C$2:$C$27=$Q$8))</f>
        <v>0</v>
      </c>
      <c r="AN326" s="3">
        <f t="shared" si="35"/>
        <v>0</v>
      </c>
      <c r="AO326" s="3">
        <f>SUM(J2:J27)</f>
        <v>719.2399999999999</v>
      </c>
      <c r="AP3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2079.7699529999995</v>
      </c>
      <c r="AQ326" s="3" cm="1">
        <f t="array" aca="1" ref="AQ326" ca="1">OFFSET(Table7[[#This Row],[Investment Increase]],0,-1)-SUM($J$2:$J$27*($E$2:$E$27=$Q$31))</f>
        <v>279.76995299999953</v>
      </c>
    </row>
    <row r="327" spans="22:43" x14ac:dyDescent="0.45">
      <c r="V327" s="9">
        <v>44274</v>
      </c>
      <c r="W327" s="3">
        <v>166.08</v>
      </c>
      <c r="X327" s="2" cm="1">
        <f t="array" ref="X327">SUM($F$2:$F$27*($C$2:$C$27=$Q$2))</f>
        <v>3.8419999999999996</v>
      </c>
      <c r="Y327" s="3">
        <f t="shared" si="30"/>
        <v>638.07935999999995</v>
      </c>
      <c r="Z327" s="3">
        <v>168.48</v>
      </c>
      <c r="AA327" s="2" cm="1">
        <f t="array" ref="AA327">SUM($F$2:$F$27*($C$2:$C$27=$Q$3))</f>
        <v>2.1331000000000002</v>
      </c>
      <c r="AB327" s="3">
        <f t="shared" si="31"/>
        <v>359.38468800000004</v>
      </c>
      <c r="AC327" s="3">
        <v>18.03</v>
      </c>
      <c r="AD327" s="2" cm="1">
        <f t="array" ref="AD327">SUM($F$2:$F$27*($C$2:$C$27=$Q$4))</f>
        <v>12.567</v>
      </c>
      <c r="AE327" s="3">
        <f t="shared" si="32"/>
        <v>226.58301000000003</v>
      </c>
      <c r="AF327" s="3">
        <v>13.94</v>
      </c>
      <c r="AG327" s="2" cm="1">
        <f t="array" ref="AG327">SUM($F$2:$F$27*($C$2:$C$27=$Q$5))</f>
        <v>8.8089999999999993</v>
      </c>
      <c r="AH327" s="3">
        <f t="shared" si="33"/>
        <v>122.79745999999999</v>
      </c>
      <c r="AI327" s="3">
        <v>20.21</v>
      </c>
      <c r="AJ327" s="2" cm="1">
        <f t="array" ref="AJ327">SUM($F$2:$F$27*($C$2:$C$27=$Q$6))</f>
        <v>0</v>
      </c>
      <c r="AK327" s="3">
        <f t="shared" si="34"/>
        <v>0</v>
      </c>
      <c r="AL327" s="3">
        <v>15.25</v>
      </c>
      <c r="AM327" s="2" cm="1">
        <f t="array" ref="AM327">SUM($F$2:$F$27*($C$2:$C$27=$Q$8))</f>
        <v>0</v>
      </c>
      <c r="AN327" s="3">
        <f t="shared" si="35"/>
        <v>0</v>
      </c>
      <c r="AO327" s="3">
        <f>SUM(J2:J27)</f>
        <v>719.2399999999999</v>
      </c>
      <c r="AP3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2066.0845180000001</v>
      </c>
      <c r="AQ327" s="3" cm="1">
        <f t="array" aca="1" ref="AQ327" ca="1">OFFSET(Table7[[#This Row],[Investment Increase]],0,-1)-SUM($J$2:$J$27*($E$2:$E$27=$Q$31))</f>
        <v>266.08451800000012</v>
      </c>
    </row>
    <row r="328" spans="22:43" x14ac:dyDescent="0.45">
      <c r="V328" s="9">
        <v>44273</v>
      </c>
      <c r="W328" s="3">
        <v>164.82</v>
      </c>
      <c r="X328" s="2" cm="1">
        <f t="array" ref="X328">SUM($F$2:$F$27*($C$2:$C$27=$Q$2))</f>
        <v>3.8419999999999996</v>
      </c>
      <c r="Y328" s="3">
        <f t="shared" si="30"/>
        <v>633.23843999999997</v>
      </c>
      <c r="Z328" s="3">
        <v>166.58</v>
      </c>
      <c r="AA328" s="2" cm="1">
        <f t="array" ref="AA328">SUM($F$2:$F$27*($C$2:$C$27=$Q$3))</f>
        <v>2.1331000000000002</v>
      </c>
      <c r="AB328" s="3">
        <f t="shared" si="31"/>
        <v>355.33179800000005</v>
      </c>
      <c r="AC328" s="3">
        <v>17.899999999999999</v>
      </c>
      <c r="AD328" s="2" cm="1">
        <f t="array" ref="AD328">SUM($F$2:$F$27*($C$2:$C$27=$Q$4))</f>
        <v>12.567</v>
      </c>
      <c r="AE328" s="3">
        <f t="shared" si="32"/>
        <v>224.94929999999999</v>
      </c>
      <c r="AF328" s="3">
        <v>13.93</v>
      </c>
      <c r="AG328" s="2" cm="1">
        <f t="array" ref="AG328">SUM($F$2:$F$27*($C$2:$C$27=$Q$5))</f>
        <v>8.8089999999999993</v>
      </c>
      <c r="AH328" s="3">
        <f t="shared" si="33"/>
        <v>122.70936999999999</v>
      </c>
      <c r="AI328" s="3">
        <v>20.190000000000001</v>
      </c>
      <c r="AJ328" s="2" cm="1">
        <f t="array" ref="AJ328">SUM($F$2:$F$27*($C$2:$C$27=$Q$6))</f>
        <v>0</v>
      </c>
      <c r="AK328" s="3">
        <f t="shared" si="34"/>
        <v>0</v>
      </c>
      <c r="AL328" s="3">
        <v>15.32</v>
      </c>
      <c r="AM328" s="2" cm="1">
        <f t="array" ref="AM328">SUM($F$2:$F$27*($C$2:$C$27=$Q$8))</f>
        <v>0</v>
      </c>
      <c r="AN328" s="3">
        <f t="shared" si="35"/>
        <v>0</v>
      </c>
      <c r="AO328" s="3">
        <f>SUM(J2:J27)</f>
        <v>719.2399999999999</v>
      </c>
      <c r="AP3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2055.4689079999998</v>
      </c>
      <c r="AQ328" s="3" cm="1">
        <f t="array" aca="1" ref="AQ328" ca="1">OFFSET(Table7[[#This Row],[Investment Increase]],0,-1)-SUM($J$2:$J$27*($E$2:$E$27=$Q$31))</f>
        <v>255.46890799999983</v>
      </c>
    </row>
    <row r="329" spans="22:43" x14ac:dyDescent="0.45">
      <c r="V329" s="9">
        <v>44272</v>
      </c>
      <c r="W329" s="3">
        <v>169.97</v>
      </c>
      <c r="X329" s="2" cm="1">
        <f t="array" ref="X329">SUM($F$2:$F$27*($C$2:$C$27=$Q$2))</f>
        <v>3.8419999999999996</v>
      </c>
      <c r="Y329" s="3">
        <f t="shared" si="30"/>
        <v>653.02473999999995</v>
      </c>
      <c r="Z329" s="3">
        <v>172.33</v>
      </c>
      <c r="AA329" s="2" cm="1">
        <f t="array" ref="AA329">SUM($F$2:$F$27*($C$2:$C$27=$Q$3))</f>
        <v>2.1331000000000002</v>
      </c>
      <c r="AB329" s="3">
        <f t="shared" si="31"/>
        <v>367.59712300000007</v>
      </c>
      <c r="AC329" s="3">
        <v>18.440000000000001</v>
      </c>
      <c r="AD329" s="2" cm="1">
        <f t="array" ref="AD329">SUM($F$2:$F$27*($C$2:$C$27=$Q$4))</f>
        <v>12.567</v>
      </c>
      <c r="AE329" s="3">
        <f t="shared" si="32"/>
        <v>231.73548000000002</v>
      </c>
      <c r="AF329" s="3">
        <v>14.17</v>
      </c>
      <c r="AG329" s="2" cm="1">
        <f t="array" ref="AG329">SUM($F$2:$F$27*($C$2:$C$27=$Q$5))</f>
        <v>8.8089999999999993</v>
      </c>
      <c r="AH329" s="3">
        <f t="shared" si="33"/>
        <v>124.82352999999999</v>
      </c>
      <c r="AI329" s="3">
        <v>20.55</v>
      </c>
      <c r="AJ329" s="2" cm="1">
        <f t="array" ref="AJ329">SUM($F$2:$F$27*($C$2:$C$27=$Q$6))</f>
        <v>0</v>
      </c>
      <c r="AK329" s="3">
        <f t="shared" si="34"/>
        <v>0</v>
      </c>
      <c r="AL329" s="3">
        <v>15.62</v>
      </c>
      <c r="AM329" s="2" cm="1">
        <f t="array" ref="AM329">SUM($F$2:$F$27*($C$2:$C$27=$Q$8))</f>
        <v>0</v>
      </c>
      <c r="AN329" s="3">
        <f t="shared" si="35"/>
        <v>0</v>
      </c>
      <c r="AO329" s="3">
        <f>SUM(J2:J27)</f>
        <v>719.2399999999999</v>
      </c>
      <c r="AP3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2096.420873</v>
      </c>
      <c r="AQ329" s="3" cm="1">
        <f t="array" aca="1" ref="AQ329" ca="1">OFFSET(Table7[[#This Row],[Investment Increase]],0,-1)-SUM($J$2:$J$27*($E$2:$E$27=$Q$31))</f>
        <v>296.42087300000003</v>
      </c>
    </row>
    <row r="330" spans="22:43" x14ac:dyDescent="0.45">
      <c r="V330" s="9">
        <v>44271</v>
      </c>
      <c r="W330" s="3">
        <v>169.29</v>
      </c>
      <c r="X330" s="2" cm="1">
        <f t="array" ref="X330">SUM($F$2:$F$27*($C$2:$C$27=$Q$2))</f>
        <v>3.8419999999999996</v>
      </c>
      <c r="Y330" s="3">
        <f t="shared" si="30"/>
        <v>650.41217999999992</v>
      </c>
      <c r="Z330" s="3">
        <v>171.47</v>
      </c>
      <c r="AA330" s="2" cm="1">
        <f t="array" ref="AA330">SUM($F$2:$F$27*($C$2:$C$27=$Q$3))</f>
        <v>2.1331000000000002</v>
      </c>
      <c r="AB330" s="3">
        <f t="shared" si="31"/>
        <v>365.76265700000005</v>
      </c>
      <c r="AC330" s="3">
        <v>18.36</v>
      </c>
      <c r="AD330" s="2" cm="1">
        <f t="array" ref="AD330">SUM($F$2:$F$27*($C$2:$C$27=$Q$4))</f>
        <v>12.567</v>
      </c>
      <c r="AE330" s="3">
        <f t="shared" si="32"/>
        <v>230.73012</v>
      </c>
      <c r="AF330" s="3">
        <v>14.13</v>
      </c>
      <c r="AG330" s="2" cm="1">
        <f t="array" ref="AG330">SUM($F$2:$F$27*($C$2:$C$27=$Q$5))</f>
        <v>8.8089999999999993</v>
      </c>
      <c r="AH330" s="3">
        <f t="shared" si="33"/>
        <v>124.47117</v>
      </c>
      <c r="AI330" s="3">
        <v>20.46</v>
      </c>
      <c r="AJ330" s="2" cm="1">
        <f t="array" ref="AJ330">SUM($F$2:$F$27*($C$2:$C$27=$Q$6))</f>
        <v>0</v>
      </c>
      <c r="AK330" s="3">
        <f t="shared" si="34"/>
        <v>0</v>
      </c>
      <c r="AL330" s="3">
        <v>15.57</v>
      </c>
      <c r="AM330" s="2" cm="1">
        <f t="array" ref="AM330">SUM($F$2:$F$27*($C$2:$C$27=$Q$8))</f>
        <v>0</v>
      </c>
      <c r="AN330" s="3">
        <f t="shared" si="35"/>
        <v>0</v>
      </c>
      <c r="AO330" s="3">
        <f>SUM(J2:J27)</f>
        <v>719.2399999999999</v>
      </c>
      <c r="AP3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2090.6161269999998</v>
      </c>
      <c r="AQ330" s="3" cm="1">
        <f t="array" aca="1" ref="AQ330" ca="1">OFFSET(Table7[[#This Row],[Investment Increase]],0,-1)-SUM($J$2:$J$27*($E$2:$E$27=$Q$31))</f>
        <v>290.61612699999978</v>
      </c>
    </row>
    <row r="331" spans="22:43" x14ac:dyDescent="0.45">
      <c r="V331" s="9">
        <v>44270</v>
      </c>
      <c r="W331" s="3">
        <v>169.13</v>
      </c>
      <c r="X331" s="2" cm="1">
        <f t="array" ref="X331">SUM($F$2:$F$27*($C$2:$C$27=$Q$2))</f>
        <v>3.8419999999999996</v>
      </c>
      <c r="Y331" s="3">
        <f t="shared" si="30"/>
        <v>649.79745999999989</v>
      </c>
      <c r="Z331" s="3">
        <v>172.35</v>
      </c>
      <c r="AA331" s="2" cm="1">
        <f t="array" ref="AA331">SUM($F$2:$F$27*($C$2:$C$27=$Q$3))</f>
        <v>2.1331000000000002</v>
      </c>
      <c r="AB331" s="3">
        <f t="shared" si="31"/>
        <v>367.63978500000002</v>
      </c>
      <c r="AC331" s="3">
        <v>18.34</v>
      </c>
      <c r="AD331" s="2" cm="1">
        <f t="array" ref="AD331">SUM($F$2:$F$27*($C$2:$C$27=$Q$4))</f>
        <v>12.567</v>
      </c>
      <c r="AE331" s="3">
        <f t="shared" si="32"/>
        <v>230.47878</v>
      </c>
      <c r="AF331" s="3">
        <v>14.15</v>
      </c>
      <c r="AG331" s="2" cm="1">
        <f t="array" ref="AG331">SUM($F$2:$F$27*($C$2:$C$27=$Q$5))</f>
        <v>8.8089999999999993</v>
      </c>
      <c r="AH331" s="3">
        <f t="shared" si="33"/>
        <v>124.64734999999999</v>
      </c>
      <c r="AI331" s="3">
        <v>20.52</v>
      </c>
      <c r="AJ331" s="2" cm="1">
        <f t="array" ref="AJ331">SUM($F$2:$F$27*($C$2:$C$27=$Q$6))</f>
        <v>0</v>
      </c>
      <c r="AK331" s="3">
        <f t="shared" si="34"/>
        <v>0</v>
      </c>
      <c r="AL331" s="3">
        <v>15.83</v>
      </c>
      <c r="AM331" s="2" cm="1">
        <f t="array" ref="AM331">SUM($F$2:$F$27*($C$2:$C$27=$Q$8))</f>
        <v>0</v>
      </c>
      <c r="AN331" s="3">
        <f t="shared" si="35"/>
        <v>0</v>
      </c>
      <c r="AO331" s="3">
        <f>SUM(J2:J27)</f>
        <v>719.2399999999999</v>
      </c>
      <c r="AP3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2091.8033749999995</v>
      </c>
      <c r="AQ331" s="3" cm="1">
        <f t="array" aca="1" ref="AQ331" ca="1">OFFSET(Table7[[#This Row],[Investment Increase]],0,-1)-SUM($J$2:$J$27*($E$2:$E$27=$Q$31))</f>
        <v>291.80337499999951</v>
      </c>
    </row>
    <row r="332" spans="22:43" x14ac:dyDescent="0.45">
      <c r="V332" s="9">
        <v>44267</v>
      </c>
      <c r="W332" s="3">
        <v>167.38</v>
      </c>
      <c r="X332" s="2" cm="1">
        <f t="array" ref="X332">SUM($F$2:$F$27*($C$2:$C$27=$Q$2))</f>
        <v>3.8419999999999996</v>
      </c>
      <c r="Y332" s="3">
        <f t="shared" si="30"/>
        <v>643.07395999999994</v>
      </c>
      <c r="Z332" s="3">
        <v>170.31</v>
      </c>
      <c r="AA332" s="2" cm="1">
        <f t="array" ref="AA332">SUM($F$2:$F$27*($C$2:$C$27=$Q$3))</f>
        <v>2.1331000000000002</v>
      </c>
      <c r="AB332" s="3">
        <f t="shared" si="31"/>
        <v>363.28826100000003</v>
      </c>
      <c r="AC332" s="3">
        <v>18.13</v>
      </c>
      <c r="AD332" s="2" cm="1">
        <f t="array" ref="AD332">SUM($F$2:$F$27*($C$2:$C$27=$Q$4))</f>
        <v>12.567</v>
      </c>
      <c r="AE332" s="3">
        <f t="shared" si="32"/>
        <v>227.83971</v>
      </c>
      <c r="AF332" s="3">
        <v>14.06</v>
      </c>
      <c r="AG332" s="2" cm="1">
        <f t="array" ref="AG332">SUM($F$2:$F$27*($C$2:$C$27=$Q$5))</f>
        <v>8.8089999999999993</v>
      </c>
      <c r="AH332" s="3">
        <f t="shared" si="33"/>
        <v>123.85454</v>
      </c>
      <c r="AI332" s="3">
        <v>20.36</v>
      </c>
      <c r="AJ332" s="2" cm="1">
        <f t="array" ref="AJ332">SUM($F$2:$F$27*($C$2:$C$27=$Q$6))</f>
        <v>0</v>
      </c>
      <c r="AK332" s="3">
        <f t="shared" si="34"/>
        <v>0</v>
      </c>
      <c r="AL332" s="3">
        <v>15.92</v>
      </c>
      <c r="AM332" s="2" cm="1">
        <f t="array" ref="AM332">SUM($F$2:$F$27*($C$2:$C$27=$Q$8))</f>
        <v>0</v>
      </c>
      <c r="AN332" s="3">
        <f t="shared" si="35"/>
        <v>0</v>
      </c>
      <c r="AO332" s="3">
        <f>SUM(J2:J27)</f>
        <v>719.2399999999999</v>
      </c>
      <c r="AP3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2077.2964710000001</v>
      </c>
      <c r="AQ332" s="3" cm="1">
        <f t="array" aca="1" ref="AQ332" ca="1">OFFSET(Table7[[#This Row],[Investment Increase]],0,-1)-SUM($J$2:$J$27*($E$2:$E$27=$Q$31))</f>
        <v>277.29647100000011</v>
      </c>
    </row>
    <row r="333" spans="22:43" x14ac:dyDescent="0.45">
      <c r="V333" s="9">
        <v>44266</v>
      </c>
      <c r="W333" s="3">
        <v>168.35</v>
      </c>
      <c r="X333" s="2" cm="1">
        <f t="array" ref="X333">SUM($F$2:$F$27*($C$2:$C$27=$Q$2))</f>
        <v>3.8419999999999996</v>
      </c>
      <c r="Y333" s="3">
        <f t="shared" si="30"/>
        <v>646.80069999999989</v>
      </c>
      <c r="Z333" s="3">
        <v>170.98</v>
      </c>
      <c r="AA333" s="2" cm="1">
        <f t="array" ref="AA333">SUM($F$2:$F$27*($C$2:$C$27=$Q$3))</f>
        <v>2.1331000000000002</v>
      </c>
      <c r="AB333" s="3">
        <f t="shared" si="31"/>
        <v>364.71743800000002</v>
      </c>
      <c r="AC333" s="3">
        <v>18.28</v>
      </c>
      <c r="AD333" s="2" cm="1">
        <f t="array" ref="AD333">SUM($F$2:$F$27*($C$2:$C$27=$Q$4))</f>
        <v>12.567</v>
      </c>
      <c r="AE333" s="3">
        <f t="shared" si="32"/>
        <v>229.72476</v>
      </c>
      <c r="AF333" s="3">
        <v>14.05</v>
      </c>
      <c r="AG333" s="2" cm="1">
        <f t="array" ref="AG333">SUM($F$2:$F$27*($C$2:$C$27=$Q$5))</f>
        <v>8.8089999999999993</v>
      </c>
      <c r="AH333" s="3">
        <f t="shared" si="33"/>
        <v>123.76644999999999</v>
      </c>
      <c r="AI333" s="3">
        <v>20.350000000000001</v>
      </c>
      <c r="AJ333" s="2" cm="1">
        <f t="array" ref="AJ333">SUM($F$2:$F$27*($C$2:$C$27=$Q$6))</f>
        <v>0</v>
      </c>
      <c r="AK333" s="3">
        <f t="shared" si="34"/>
        <v>0</v>
      </c>
      <c r="AL333" s="3">
        <v>15.91</v>
      </c>
      <c r="AM333" s="2" cm="1">
        <f t="array" ref="AM333">SUM($F$2:$F$27*($C$2:$C$27=$Q$8))</f>
        <v>0</v>
      </c>
      <c r="AN333" s="3">
        <f t="shared" si="35"/>
        <v>0</v>
      </c>
      <c r="AO333" s="3">
        <f>SUM(J2:J27)</f>
        <v>719.2399999999999</v>
      </c>
      <c r="AP3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2084.2493479999998</v>
      </c>
      <c r="AQ333" s="3" cm="1">
        <f t="array" aca="1" ref="AQ333" ca="1">OFFSET(Table7[[#This Row],[Investment Increase]],0,-1)-SUM($J$2:$J$27*($E$2:$E$27=$Q$31))</f>
        <v>284.24934799999983</v>
      </c>
    </row>
    <row r="334" spans="22:43" x14ac:dyDescent="0.45">
      <c r="V334" s="9">
        <v>44265</v>
      </c>
      <c r="W334" s="3">
        <v>164.2</v>
      </c>
      <c r="X334" s="2" cm="1">
        <f t="array" ref="X334">SUM($F$2:$F$27*($C$2:$C$27=$Q$2))</f>
        <v>3.8419999999999996</v>
      </c>
      <c r="Y334" s="3">
        <f t="shared" si="30"/>
        <v>630.85639999999989</v>
      </c>
      <c r="Z334" s="3">
        <v>165.71</v>
      </c>
      <c r="AA334" s="2" cm="1">
        <f t="array" ref="AA334">SUM($F$2:$F$27*($C$2:$C$27=$Q$3))</f>
        <v>2.1331000000000002</v>
      </c>
      <c r="AB334" s="3">
        <f t="shared" si="31"/>
        <v>353.47600100000005</v>
      </c>
      <c r="AC334" s="3">
        <v>17.8</v>
      </c>
      <c r="AD334" s="2" cm="1">
        <f t="array" ref="AD334">SUM($F$2:$F$27*($C$2:$C$27=$Q$4))</f>
        <v>12.567</v>
      </c>
      <c r="AE334" s="3">
        <f t="shared" si="32"/>
        <v>223.6926</v>
      </c>
      <c r="AF334" s="3">
        <v>13.87</v>
      </c>
      <c r="AG334" s="2" cm="1">
        <f t="array" ref="AG334">SUM($F$2:$F$27*($C$2:$C$27=$Q$5))</f>
        <v>8.8089999999999993</v>
      </c>
      <c r="AH334" s="3">
        <f t="shared" si="33"/>
        <v>122.18082999999999</v>
      </c>
      <c r="AI334" s="3">
        <v>20.100000000000001</v>
      </c>
      <c r="AJ334" s="2" cm="1">
        <f t="array" ref="AJ334">SUM($F$2:$F$27*($C$2:$C$27=$Q$6))</f>
        <v>0</v>
      </c>
      <c r="AK334" s="3">
        <f t="shared" si="34"/>
        <v>0</v>
      </c>
      <c r="AL334" s="3">
        <v>15.61</v>
      </c>
      <c r="AM334" s="2" cm="1">
        <f t="array" ref="AM334">SUM($F$2:$F$27*($C$2:$C$27=$Q$8))</f>
        <v>0</v>
      </c>
      <c r="AN334" s="3">
        <f t="shared" si="35"/>
        <v>0</v>
      </c>
      <c r="AO334" s="3">
        <f>SUM(J2:J27)</f>
        <v>719.2399999999999</v>
      </c>
      <c r="AP3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2049.445831</v>
      </c>
      <c r="AQ334" s="3" cm="1">
        <f t="array" aca="1" ref="AQ334" ca="1">OFFSET(Table7[[#This Row],[Investment Increase]],0,-1)-SUM($J$2:$J$27*($E$2:$E$27=$Q$31))</f>
        <v>249.445831</v>
      </c>
    </row>
    <row r="335" spans="22:43" x14ac:dyDescent="0.45">
      <c r="V335" s="9">
        <v>44264</v>
      </c>
      <c r="W335" s="3">
        <v>164.26</v>
      </c>
      <c r="X335" s="2" cm="1">
        <f t="array" ref="X335">SUM($F$2:$F$27*($C$2:$C$27=$Q$2))</f>
        <v>3.8419999999999996</v>
      </c>
      <c r="Y335" s="3">
        <f t="shared" si="30"/>
        <v>631.08691999999985</v>
      </c>
      <c r="Z335" s="3">
        <v>166.03</v>
      </c>
      <c r="AA335" s="2" cm="1">
        <f t="array" ref="AA335">SUM($F$2:$F$27*($C$2:$C$27=$Q$3))</f>
        <v>2.1331000000000002</v>
      </c>
      <c r="AB335" s="3">
        <f t="shared" si="31"/>
        <v>354.15859300000005</v>
      </c>
      <c r="AC335" s="3">
        <v>17.87</v>
      </c>
      <c r="AD335" s="2" cm="1">
        <f t="array" ref="AD335">SUM($F$2:$F$27*($C$2:$C$27=$Q$4))</f>
        <v>12.567</v>
      </c>
      <c r="AE335" s="3">
        <f t="shared" si="32"/>
        <v>224.57229000000001</v>
      </c>
      <c r="AF335" s="3">
        <v>13.8</v>
      </c>
      <c r="AG335" s="2" cm="1">
        <f t="array" ref="AG335">SUM($F$2:$F$27*($C$2:$C$27=$Q$5))</f>
        <v>8.8089999999999993</v>
      </c>
      <c r="AH335" s="3">
        <f t="shared" si="33"/>
        <v>121.5642</v>
      </c>
      <c r="AI335" s="3">
        <v>19.98</v>
      </c>
      <c r="AJ335" s="2" cm="1">
        <f t="array" ref="AJ335">SUM($F$2:$F$27*($C$2:$C$27=$Q$6))</f>
        <v>0</v>
      </c>
      <c r="AK335" s="3">
        <f t="shared" si="34"/>
        <v>0</v>
      </c>
      <c r="AL335" s="3">
        <v>15.47</v>
      </c>
      <c r="AM335" s="2" cm="1">
        <f t="array" ref="AM335">SUM($F$2:$F$27*($C$2:$C$27=$Q$8))</f>
        <v>0</v>
      </c>
      <c r="AN335" s="3">
        <f t="shared" si="35"/>
        <v>0</v>
      </c>
      <c r="AO335" s="3">
        <f>SUM(J2:J27)</f>
        <v>719.2399999999999</v>
      </c>
      <c r="AP3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2050.6220029999999</v>
      </c>
      <c r="AQ335" s="3" cm="1">
        <f t="array" aca="1" ref="AQ335" ca="1">OFFSET(Table7[[#This Row],[Investment Increase]],0,-1)-SUM($J$2:$J$27*($E$2:$E$27=$Q$31))</f>
        <v>250.62200299999995</v>
      </c>
    </row>
    <row r="336" spans="22:43" x14ac:dyDescent="0.45">
      <c r="V336" s="9">
        <v>44263</v>
      </c>
      <c r="W336" s="3">
        <v>158.41</v>
      </c>
      <c r="X336" s="2" cm="1">
        <f t="array" ref="X336">SUM($F$2:$F$27*($C$2:$C$27=$Q$2))</f>
        <v>3.8419999999999996</v>
      </c>
      <c r="Y336" s="3">
        <f t="shared" si="30"/>
        <v>608.61121999999989</v>
      </c>
      <c r="Z336" s="3">
        <v>159.72999999999999</v>
      </c>
      <c r="AA336" s="2" cm="1">
        <f t="array" ref="AA336">SUM($F$2:$F$27*($C$2:$C$27=$Q$3))</f>
        <v>2.1331000000000002</v>
      </c>
      <c r="AB336" s="3">
        <f t="shared" si="31"/>
        <v>340.72006300000004</v>
      </c>
      <c r="AC336" s="3">
        <v>17.32</v>
      </c>
      <c r="AD336" s="2" cm="1">
        <f t="array" ref="AD336">SUM($F$2:$F$27*($C$2:$C$27=$Q$4))</f>
        <v>12.567</v>
      </c>
      <c r="AE336" s="3">
        <f t="shared" si="32"/>
        <v>217.66043999999999</v>
      </c>
      <c r="AF336" s="3">
        <v>13.56</v>
      </c>
      <c r="AG336" s="2" cm="1">
        <f t="array" ref="AG336">SUM($F$2:$F$27*($C$2:$C$27=$Q$5))</f>
        <v>8.8089999999999993</v>
      </c>
      <c r="AH336" s="3">
        <f t="shared" si="33"/>
        <v>119.45004</v>
      </c>
      <c r="AI336" s="3">
        <v>19.690000000000001</v>
      </c>
      <c r="AJ336" s="2" cm="1">
        <f t="array" ref="AJ336">SUM($F$2:$F$27*($C$2:$C$27=$Q$6))</f>
        <v>0</v>
      </c>
      <c r="AK336" s="3">
        <f t="shared" si="34"/>
        <v>0</v>
      </c>
      <c r="AL336" s="3">
        <v>15.48</v>
      </c>
      <c r="AM336" s="2" cm="1">
        <f t="array" ref="AM336">SUM($F$2:$F$27*($C$2:$C$27=$Q$8))</f>
        <v>0</v>
      </c>
      <c r="AN336" s="3">
        <f t="shared" si="35"/>
        <v>0</v>
      </c>
      <c r="AO336" s="3">
        <f>SUM(J2:J27)</f>
        <v>719.2399999999999</v>
      </c>
      <c r="AP3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2005.681763</v>
      </c>
      <c r="AQ336" s="3" cm="1">
        <f t="array" aca="1" ref="AQ336" ca="1">OFFSET(Table7[[#This Row],[Investment Increase]],0,-1)-SUM($J$2:$J$27*($E$2:$E$27=$Q$31))</f>
        <v>205.68176300000005</v>
      </c>
    </row>
    <row r="337" spans="22:43" x14ac:dyDescent="0.45">
      <c r="V337" s="9">
        <v>44260</v>
      </c>
      <c r="W337" s="3">
        <v>162.32</v>
      </c>
      <c r="X337" s="2" cm="1">
        <f t="array" ref="X337">SUM($F$2:$F$27*($C$2:$C$27=$Q$2))</f>
        <v>3.8419999999999996</v>
      </c>
      <c r="Y337" s="3">
        <f t="shared" si="30"/>
        <v>623.63343999999995</v>
      </c>
      <c r="Z337" s="3">
        <v>164.11</v>
      </c>
      <c r="AA337" s="2" cm="1">
        <f t="array" ref="AA337">SUM($F$2:$F$27*($C$2:$C$27=$Q$3))</f>
        <v>2.1331000000000002</v>
      </c>
      <c r="AB337" s="3">
        <f t="shared" si="31"/>
        <v>350.06304100000006</v>
      </c>
      <c r="AC337" s="3">
        <v>17.8</v>
      </c>
      <c r="AD337" s="2" cm="1">
        <f t="array" ref="AD337">SUM($F$2:$F$27*($C$2:$C$27=$Q$4))</f>
        <v>12.567</v>
      </c>
      <c r="AE337" s="3">
        <f t="shared" si="32"/>
        <v>223.6926</v>
      </c>
      <c r="AF337" s="3">
        <v>13.67</v>
      </c>
      <c r="AG337" s="2" cm="1">
        <f t="array" ref="AG337">SUM($F$2:$F$27*($C$2:$C$27=$Q$5))</f>
        <v>8.8089999999999993</v>
      </c>
      <c r="AH337" s="3">
        <f t="shared" si="33"/>
        <v>120.41902999999999</v>
      </c>
      <c r="AI337" s="3">
        <v>19.78</v>
      </c>
      <c r="AJ337" s="2" cm="1">
        <f t="array" ref="AJ337">SUM($F$2:$F$27*($C$2:$C$27=$Q$6))</f>
        <v>0</v>
      </c>
      <c r="AK337" s="3">
        <f t="shared" si="34"/>
        <v>0</v>
      </c>
      <c r="AL337" s="3">
        <v>15.46</v>
      </c>
      <c r="AM337" s="2" cm="1">
        <f t="array" ref="AM337">SUM($F$2:$F$27*($C$2:$C$27=$Q$8))</f>
        <v>0</v>
      </c>
      <c r="AN337" s="3">
        <f t="shared" si="35"/>
        <v>0</v>
      </c>
      <c r="AO337" s="3">
        <f>SUM(J2:J27)</f>
        <v>719.2399999999999</v>
      </c>
      <c r="AP3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2037.0481110000001</v>
      </c>
      <c r="AQ337" s="3" cm="1">
        <f t="array" aca="1" ref="AQ337" ca="1">OFFSET(Table7[[#This Row],[Investment Increase]],0,-1)-SUM($J$2:$J$27*($E$2:$E$27=$Q$31))</f>
        <v>237.04811100000006</v>
      </c>
    </row>
    <row r="338" spans="22:43" x14ac:dyDescent="0.45">
      <c r="V338" s="9">
        <v>44259</v>
      </c>
      <c r="W338" s="3">
        <v>159.84</v>
      </c>
      <c r="X338" s="2" cm="1">
        <f t="array" ref="X338">SUM($F$2:$F$27*($C$2:$C$27=$Q$2))</f>
        <v>3.8419999999999996</v>
      </c>
      <c r="Y338" s="3">
        <f t="shared" si="30"/>
        <v>614.10527999999999</v>
      </c>
      <c r="Z338" s="3">
        <v>161.97</v>
      </c>
      <c r="AA338" s="2" cm="1">
        <f t="array" ref="AA338">SUM($F$2:$F$27*($C$2:$C$27=$Q$3))</f>
        <v>2.1331000000000002</v>
      </c>
      <c r="AB338" s="3">
        <f t="shared" si="31"/>
        <v>345.49820700000004</v>
      </c>
      <c r="AC338" s="3">
        <v>17.5</v>
      </c>
      <c r="AD338" s="2" cm="1">
        <f t="array" ref="AD338">SUM($F$2:$F$27*($C$2:$C$27=$Q$4))</f>
        <v>12.567</v>
      </c>
      <c r="AE338" s="3">
        <f t="shared" si="32"/>
        <v>219.92250000000001</v>
      </c>
      <c r="AF338" s="3">
        <v>13.42</v>
      </c>
      <c r="AG338" s="2" cm="1">
        <f t="array" ref="AG338">SUM($F$2:$F$27*($C$2:$C$27=$Q$5))</f>
        <v>8.8089999999999993</v>
      </c>
      <c r="AH338" s="3">
        <f t="shared" si="33"/>
        <v>118.21677999999999</v>
      </c>
      <c r="AI338" s="3">
        <v>19.43</v>
      </c>
      <c r="AJ338" s="2" cm="1">
        <f t="array" ref="AJ338">SUM($F$2:$F$27*($C$2:$C$27=$Q$6))</f>
        <v>0</v>
      </c>
      <c r="AK338" s="3">
        <f t="shared" si="34"/>
        <v>0</v>
      </c>
      <c r="AL338" s="3">
        <v>15.09</v>
      </c>
      <c r="AM338" s="2" cm="1">
        <f t="array" ref="AM338">SUM($F$2:$F$27*($C$2:$C$27=$Q$8))</f>
        <v>0</v>
      </c>
      <c r="AN338" s="3">
        <f t="shared" si="35"/>
        <v>0</v>
      </c>
      <c r="AO338" s="3">
        <f>SUM(J2:J27)</f>
        <v>719.2399999999999</v>
      </c>
      <c r="AP3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2016.982767</v>
      </c>
      <c r="AQ338" s="3" cm="1">
        <f t="array" aca="1" ref="AQ338" ca="1">OFFSET(Table7[[#This Row],[Investment Increase]],0,-1)-SUM($J$2:$J$27*($E$2:$E$27=$Q$31))</f>
        <v>216.98276699999997</v>
      </c>
    </row>
    <row r="339" spans="22:43" x14ac:dyDescent="0.45">
      <c r="V339" s="9">
        <v>44258</v>
      </c>
      <c r="W339" s="3">
        <v>163.27000000000001</v>
      </c>
      <c r="X339" s="2" cm="1">
        <f t="array" ref="X339">SUM($F$2:$F$27*($C$2:$C$27=$Q$2))</f>
        <v>3.8419999999999996</v>
      </c>
      <c r="Y339" s="3">
        <f t="shared" si="30"/>
        <v>627.28333999999995</v>
      </c>
      <c r="Z339" s="3">
        <v>166.71</v>
      </c>
      <c r="AA339" s="2" cm="1">
        <f t="array" ref="AA339">SUM($F$2:$F$27*($C$2:$C$27=$Q$3))</f>
        <v>2.1331000000000002</v>
      </c>
      <c r="AB339" s="3">
        <f t="shared" si="31"/>
        <v>355.60910100000007</v>
      </c>
      <c r="AC339" s="3">
        <v>17.86</v>
      </c>
      <c r="AD339" s="2" cm="1">
        <f t="array" ref="AD339">SUM($F$2:$F$27*($C$2:$C$27=$Q$4))</f>
        <v>12.567</v>
      </c>
      <c r="AE339" s="3">
        <f t="shared" si="32"/>
        <v>224.44662</v>
      </c>
      <c r="AF339" s="3">
        <v>13.62</v>
      </c>
      <c r="AG339" s="2" cm="1">
        <f t="array" ref="AG339">SUM($F$2:$F$27*($C$2:$C$27=$Q$5))</f>
        <v>8.8089999999999993</v>
      </c>
      <c r="AH339" s="3">
        <f t="shared" si="33"/>
        <v>119.97857999999998</v>
      </c>
      <c r="AI339" s="3">
        <v>19.670000000000002</v>
      </c>
      <c r="AJ339" s="2" cm="1">
        <f t="array" ref="AJ339">SUM($F$2:$F$27*($C$2:$C$27=$Q$6))</f>
        <v>0</v>
      </c>
      <c r="AK339" s="3">
        <f t="shared" si="34"/>
        <v>0</v>
      </c>
      <c r="AL339" s="3">
        <v>15.34</v>
      </c>
      <c r="AM339" s="2" cm="1">
        <f t="array" ref="AM339">SUM($F$2:$F$27*($C$2:$C$27=$Q$8))</f>
        <v>0</v>
      </c>
      <c r="AN339" s="3">
        <f t="shared" si="35"/>
        <v>0</v>
      </c>
      <c r="AO339" s="3">
        <f>SUM(J2:J27)</f>
        <v>719.2399999999999</v>
      </c>
      <c r="AP3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2046.5576409999999</v>
      </c>
      <c r="AQ339" s="3" cm="1">
        <f t="array" aca="1" ref="AQ339" ca="1">OFFSET(Table7[[#This Row],[Investment Increase]],0,-1)-SUM($J$2:$J$27*($E$2:$E$27=$Q$31))</f>
        <v>246.55764099999988</v>
      </c>
    </row>
    <row r="340" spans="22:43" x14ac:dyDescent="0.45">
      <c r="V340" s="9">
        <v>44257</v>
      </c>
      <c r="W340" s="3">
        <v>167.8</v>
      </c>
      <c r="X340" s="2" cm="1">
        <f t="array" ref="X340">SUM($F$2:$F$27*($C$2:$C$27=$Q$2))</f>
        <v>3.8419999999999996</v>
      </c>
      <c r="Y340" s="3">
        <f t="shared" si="30"/>
        <v>644.68759999999997</v>
      </c>
      <c r="Z340" s="3">
        <v>171.44</v>
      </c>
      <c r="AA340" s="2" cm="1">
        <f t="array" ref="AA340">SUM($F$2:$F$27*($C$2:$C$27=$Q$3))</f>
        <v>2.1331000000000002</v>
      </c>
      <c r="AB340" s="3">
        <f t="shared" si="31"/>
        <v>365.69866400000001</v>
      </c>
      <c r="AC340" s="3">
        <v>18.3</v>
      </c>
      <c r="AD340" s="2" cm="1">
        <f t="array" ref="AD340">SUM($F$2:$F$27*($C$2:$C$27=$Q$4))</f>
        <v>12.567</v>
      </c>
      <c r="AE340" s="3">
        <f t="shared" si="32"/>
        <v>229.9761</v>
      </c>
      <c r="AF340" s="3">
        <v>13.84</v>
      </c>
      <c r="AG340" s="2" cm="1">
        <f t="array" ref="AG340">SUM($F$2:$F$27*($C$2:$C$27=$Q$5))</f>
        <v>8.8089999999999993</v>
      </c>
      <c r="AH340" s="3">
        <f t="shared" si="33"/>
        <v>121.91655999999999</v>
      </c>
      <c r="AI340" s="3">
        <v>19.899999999999999</v>
      </c>
      <c r="AJ340" s="2" cm="1">
        <f t="array" ref="AJ340">SUM($F$2:$F$27*($C$2:$C$27=$Q$6))</f>
        <v>0</v>
      </c>
      <c r="AK340" s="3">
        <f t="shared" si="34"/>
        <v>0</v>
      </c>
      <c r="AL340" s="3">
        <v>15.32</v>
      </c>
      <c r="AM340" s="2" cm="1">
        <f t="array" ref="AM340">SUM($F$2:$F$27*($C$2:$C$27=$Q$8))</f>
        <v>0</v>
      </c>
      <c r="AN340" s="3">
        <f t="shared" si="35"/>
        <v>0</v>
      </c>
      <c r="AO340" s="3">
        <f>SUM(J2:J27)</f>
        <v>719.2399999999999</v>
      </c>
      <c r="AP3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2081.518924</v>
      </c>
      <c r="AQ340" s="3" cm="1">
        <f t="array" aca="1" ref="AQ340" ca="1">OFFSET(Table7[[#This Row],[Investment Increase]],0,-1)-SUM($J$2:$J$27*($E$2:$E$27=$Q$31))</f>
        <v>281.51892399999997</v>
      </c>
    </row>
    <row r="341" spans="22:43" x14ac:dyDescent="0.45">
      <c r="V341" s="9">
        <v>44256</v>
      </c>
      <c r="W341" s="3">
        <v>170.69</v>
      </c>
      <c r="X341" s="2" cm="1">
        <f t="array" ref="X341">SUM($F$2:$F$27*($C$2:$C$27=$Q$2))</f>
        <v>3.8419999999999996</v>
      </c>
      <c r="Y341" s="3">
        <f t="shared" si="30"/>
        <v>655.79097999999988</v>
      </c>
      <c r="Z341" s="3">
        <v>174.31</v>
      </c>
      <c r="AA341" s="2" cm="1">
        <f t="array" ref="AA341">SUM($F$2:$F$27*($C$2:$C$27=$Q$3))</f>
        <v>2.1331000000000002</v>
      </c>
      <c r="AB341" s="3">
        <f t="shared" si="31"/>
        <v>371.82066100000003</v>
      </c>
      <c r="AC341" s="3">
        <v>18.57</v>
      </c>
      <c r="AD341" s="2" cm="1">
        <f t="array" ref="AD341">SUM($F$2:$F$27*($C$2:$C$27=$Q$4))</f>
        <v>12.567</v>
      </c>
      <c r="AE341" s="3">
        <f t="shared" si="32"/>
        <v>233.36919</v>
      </c>
      <c r="AF341" s="3">
        <v>13.97</v>
      </c>
      <c r="AG341" s="2" cm="1">
        <f t="array" ref="AG341">SUM($F$2:$F$27*($C$2:$C$27=$Q$5))</f>
        <v>8.8089999999999993</v>
      </c>
      <c r="AH341" s="3">
        <f t="shared" si="33"/>
        <v>123.06173</v>
      </c>
      <c r="AI341" s="3">
        <v>20.07</v>
      </c>
      <c r="AJ341" s="2" cm="1">
        <f t="array" ref="AJ341">SUM($F$2:$F$27*($C$2:$C$27=$Q$6))</f>
        <v>0</v>
      </c>
      <c r="AK341" s="3">
        <f t="shared" si="34"/>
        <v>0</v>
      </c>
      <c r="AL341" s="3">
        <v>15.24</v>
      </c>
      <c r="AM341" s="2" cm="1">
        <f t="array" ref="AM341">SUM($F$2:$F$27*($C$2:$C$27=$Q$8))</f>
        <v>0</v>
      </c>
      <c r="AN341" s="3">
        <f t="shared" si="35"/>
        <v>0</v>
      </c>
      <c r="AO341" s="3">
        <f>SUM(J2:J27)</f>
        <v>719.2399999999999</v>
      </c>
      <c r="AP3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2103.2825609999995</v>
      </c>
      <c r="AQ341" s="3" cm="1">
        <f t="array" aca="1" ref="AQ341" ca="1">OFFSET(Table7[[#This Row],[Investment Increase]],0,-1)-SUM($J$2:$J$27*($E$2:$E$27=$Q$31))</f>
        <v>303.28256099999953</v>
      </c>
    </row>
    <row r="342" spans="22:43" x14ac:dyDescent="0.45">
      <c r="V342" s="9">
        <v>44253</v>
      </c>
      <c r="W342" s="3">
        <v>165.71</v>
      </c>
      <c r="X342" s="2" cm="1">
        <f t="array" ref="X342">SUM($F$2:$F$27*($C$2:$C$27=$Q$2))</f>
        <v>3.8419999999999996</v>
      </c>
      <c r="Y342" s="3">
        <f t="shared" si="30"/>
        <v>636.65782000000002</v>
      </c>
      <c r="Z342" s="3">
        <v>168.92</v>
      </c>
      <c r="AA342" s="2" cm="1">
        <f t="array" ref="AA342">SUM($F$2:$F$27*($C$2:$C$27=$Q$3))</f>
        <v>2.1331000000000002</v>
      </c>
      <c r="AB342" s="3">
        <f t="shared" si="31"/>
        <v>360.32325200000002</v>
      </c>
      <c r="AC342" s="3">
        <v>18.09</v>
      </c>
      <c r="AD342" s="2" cm="1">
        <f t="array" ref="AD342">SUM($F$2:$F$27*($C$2:$C$27=$Q$4))</f>
        <v>12.567</v>
      </c>
      <c r="AE342" s="3">
        <f t="shared" si="32"/>
        <v>227.33703</v>
      </c>
      <c r="AF342" s="3">
        <v>13.63</v>
      </c>
      <c r="AG342" s="2" cm="1">
        <f t="array" ref="AG342">SUM($F$2:$F$27*($C$2:$C$27=$Q$5))</f>
        <v>8.8089999999999993</v>
      </c>
      <c r="AH342" s="3">
        <f t="shared" si="33"/>
        <v>120.06667</v>
      </c>
      <c r="AI342" s="3">
        <v>19.61</v>
      </c>
      <c r="AJ342" s="2" cm="1">
        <f t="array" ref="AJ342">SUM($F$2:$F$27*($C$2:$C$27=$Q$6))</f>
        <v>0</v>
      </c>
      <c r="AK342" s="3">
        <f t="shared" si="34"/>
        <v>0</v>
      </c>
      <c r="AL342" s="3">
        <v>14.92</v>
      </c>
      <c r="AM342" s="2" cm="1">
        <f t="array" ref="AM342">SUM($F$2:$F$27*($C$2:$C$27=$Q$8))</f>
        <v>0</v>
      </c>
      <c r="AN342" s="3">
        <f t="shared" si="35"/>
        <v>0</v>
      </c>
      <c r="AO342" s="3">
        <f>SUM(J2:J27)</f>
        <v>719.2399999999999</v>
      </c>
      <c r="AP3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2063.6247719999997</v>
      </c>
      <c r="AQ342" s="3" cm="1">
        <f t="array" aca="1" ref="AQ342" ca="1">OFFSET(Table7[[#This Row],[Investment Increase]],0,-1)-SUM($J$2:$J$27*($E$2:$E$27=$Q$31))</f>
        <v>263.62477199999967</v>
      </c>
    </row>
    <row r="343" spans="22:43" x14ac:dyDescent="0.45">
      <c r="V343" s="9">
        <v>44252</v>
      </c>
      <c r="W343" s="3">
        <v>164.79</v>
      </c>
      <c r="X343" s="2" cm="1">
        <f t="array" ref="X343">SUM($F$2:$F$27*($C$2:$C$27=$Q$2))</f>
        <v>3.8419999999999996</v>
      </c>
      <c r="Y343" s="3">
        <f t="shared" si="30"/>
        <v>633.12317999999993</v>
      </c>
      <c r="Z343" s="3">
        <v>167.55</v>
      </c>
      <c r="AA343" s="2" cm="1">
        <f t="array" ref="AA343">SUM($F$2:$F$27*($C$2:$C$27=$Q$3))</f>
        <v>2.1331000000000002</v>
      </c>
      <c r="AB343" s="3">
        <f t="shared" si="31"/>
        <v>357.40090500000008</v>
      </c>
      <c r="AC343" s="3">
        <v>17.989999999999998</v>
      </c>
      <c r="AD343" s="2" cm="1">
        <f t="array" ref="AD343">SUM($F$2:$F$27*($C$2:$C$27=$Q$4))</f>
        <v>12.567</v>
      </c>
      <c r="AE343" s="3">
        <f t="shared" si="32"/>
        <v>226.08032999999998</v>
      </c>
      <c r="AF343" s="3">
        <v>13.67</v>
      </c>
      <c r="AG343" s="2" cm="1">
        <f t="array" ref="AG343">SUM($F$2:$F$27*($C$2:$C$27=$Q$5))</f>
        <v>8.8089999999999993</v>
      </c>
      <c r="AH343" s="3">
        <f t="shared" si="33"/>
        <v>120.41902999999999</v>
      </c>
      <c r="AI343" s="3">
        <v>19.71</v>
      </c>
      <c r="AJ343" s="2" cm="1">
        <f t="array" ref="AJ343">SUM($F$2:$F$27*($C$2:$C$27=$Q$6))</f>
        <v>0</v>
      </c>
      <c r="AK343" s="3">
        <f t="shared" si="34"/>
        <v>0</v>
      </c>
      <c r="AL343" s="3">
        <v>15.32</v>
      </c>
      <c r="AM343" s="2" cm="1">
        <f t="array" ref="AM343">SUM($F$2:$F$27*($C$2:$C$27=$Q$8))</f>
        <v>0</v>
      </c>
      <c r="AN343" s="3">
        <f t="shared" si="35"/>
        <v>0</v>
      </c>
      <c r="AO343" s="3">
        <f>SUM(J2:J27)</f>
        <v>719.2399999999999</v>
      </c>
      <c r="AP3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2056.263445</v>
      </c>
      <c r="AQ343" s="3" cm="1">
        <f t="array" aca="1" ref="AQ343" ca="1">OFFSET(Table7[[#This Row],[Investment Increase]],0,-1)-SUM($J$2:$J$27*($E$2:$E$27=$Q$31))</f>
        <v>256.26344500000005</v>
      </c>
    </row>
    <row r="344" spans="22:43" x14ac:dyDescent="0.45">
      <c r="V344" s="9">
        <v>44251</v>
      </c>
      <c r="W344" s="3">
        <v>170.79</v>
      </c>
      <c r="X344" s="2" cm="1">
        <f t="array" ref="X344">SUM($F$2:$F$27*($C$2:$C$27=$Q$2))</f>
        <v>3.8419999999999996</v>
      </c>
      <c r="Y344" s="3">
        <f t="shared" si="30"/>
        <v>656.17517999999995</v>
      </c>
      <c r="Z344" s="3">
        <v>174.6</v>
      </c>
      <c r="AA344" s="2" cm="1">
        <f t="array" ref="AA344">SUM($F$2:$F$27*($C$2:$C$27=$Q$3))</f>
        <v>2.1331000000000002</v>
      </c>
      <c r="AB344" s="3">
        <f t="shared" si="31"/>
        <v>372.43926000000005</v>
      </c>
      <c r="AC344" s="3">
        <v>18.670000000000002</v>
      </c>
      <c r="AD344" s="2" cm="1">
        <f t="array" ref="AD344">SUM($F$2:$F$27*($C$2:$C$27=$Q$4))</f>
        <v>12.567</v>
      </c>
      <c r="AE344" s="3">
        <f t="shared" si="32"/>
        <v>234.62589000000003</v>
      </c>
      <c r="AF344" s="3">
        <v>14.03</v>
      </c>
      <c r="AG344" s="2" cm="1">
        <f t="array" ref="AG344">SUM($F$2:$F$27*($C$2:$C$27=$Q$5))</f>
        <v>8.8089999999999993</v>
      </c>
      <c r="AH344" s="3">
        <f t="shared" si="33"/>
        <v>123.59026999999999</v>
      </c>
      <c r="AI344" s="3">
        <v>20.23</v>
      </c>
      <c r="AJ344" s="2" cm="1">
        <f t="array" ref="AJ344">SUM($F$2:$F$27*($C$2:$C$27=$Q$6))</f>
        <v>0</v>
      </c>
      <c r="AK344" s="3">
        <f t="shared" si="34"/>
        <v>0</v>
      </c>
      <c r="AL344" s="3">
        <v>15.67</v>
      </c>
      <c r="AM344" s="2" cm="1">
        <f t="array" ref="AM344">SUM($F$2:$F$27*($C$2:$C$27=$Q$8))</f>
        <v>0</v>
      </c>
      <c r="AN344" s="3">
        <f t="shared" si="35"/>
        <v>0</v>
      </c>
      <c r="AO344" s="3">
        <f>SUM(J2:J27)</f>
        <v>719.2399999999999</v>
      </c>
      <c r="AP3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2106.0706</v>
      </c>
      <c r="AQ344" s="3" cm="1">
        <f t="array" aca="1" ref="AQ344" ca="1">OFFSET(Table7[[#This Row],[Investment Increase]],0,-1)-SUM($J$2:$J$27*($E$2:$E$27=$Q$31))</f>
        <v>306.07060000000001</v>
      </c>
    </row>
    <row r="345" spans="22:43" x14ac:dyDescent="0.45">
      <c r="V345" s="9">
        <v>44250</v>
      </c>
      <c r="W345" s="3">
        <v>169.11</v>
      </c>
      <c r="X345" s="2" cm="1">
        <f t="array" ref="X345">SUM($F$2:$F$27*($C$2:$C$27=$Q$2))</f>
        <v>3.8419999999999996</v>
      </c>
      <c r="Y345" s="3">
        <f t="shared" si="30"/>
        <v>649.72061999999994</v>
      </c>
      <c r="Z345" s="3">
        <v>173.32</v>
      </c>
      <c r="AA345" s="2" cm="1">
        <f t="array" ref="AA345">SUM($F$2:$F$27*($C$2:$C$27=$Q$3))</f>
        <v>2.1331000000000002</v>
      </c>
      <c r="AB345" s="3">
        <f t="shared" si="31"/>
        <v>369.70889200000005</v>
      </c>
      <c r="AC345" s="3">
        <v>18.5</v>
      </c>
      <c r="AD345" s="2" cm="1">
        <f t="array" ref="AD345">SUM($F$2:$F$27*($C$2:$C$27=$Q$4))</f>
        <v>12.567</v>
      </c>
      <c r="AE345" s="3">
        <f t="shared" si="32"/>
        <v>232.48949999999999</v>
      </c>
      <c r="AF345" s="3">
        <v>13.89</v>
      </c>
      <c r="AG345" s="2" cm="1">
        <f t="array" ref="AG345">SUM($F$2:$F$27*($C$2:$C$27=$Q$5))</f>
        <v>8.8089999999999993</v>
      </c>
      <c r="AH345" s="3">
        <f t="shared" si="33"/>
        <v>122.35700999999999</v>
      </c>
      <c r="AI345" s="3">
        <v>19.97</v>
      </c>
      <c r="AJ345" s="2" cm="1">
        <f t="array" ref="AJ345">SUM($F$2:$F$27*($C$2:$C$27=$Q$6))</f>
        <v>0</v>
      </c>
      <c r="AK345" s="3">
        <f t="shared" si="34"/>
        <v>0</v>
      </c>
      <c r="AL345" s="3">
        <v>15.39</v>
      </c>
      <c r="AM345" s="2" cm="1">
        <f t="array" ref="AM345">SUM($F$2:$F$27*($C$2:$C$27=$Q$8))</f>
        <v>0</v>
      </c>
      <c r="AN345" s="3">
        <f t="shared" si="35"/>
        <v>0</v>
      </c>
      <c r="AO345" s="3">
        <f>SUM(J2:J27)</f>
        <v>719.2399999999999</v>
      </c>
      <c r="AP3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2093.5160219999998</v>
      </c>
      <c r="AQ345" s="3" cm="1">
        <f t="array" aca="1" ref="AQ345" ca="1">OFFSET(Table7[[#This Row],[Investment Increase]],0,-1)-SUM($J$2:$J$27*($E$2:$E$27=$Q$31))</f>
        <v>293.51602199999979</v>
      </c>
    </row>
    <row r="346" spans="22:43" x14ac:dyDescent="0.45">
      <c r="V346" s="9">
        <v>44249</v>
      </c>
      <c r="W346" s="3">
        <v>169.95</v>
      </c>
      <c r="X346" s="2" cm="1">
        <f t="array" ref="X346">SUM($F$2:$F$27*($C$2:$C$27=$Q$2))</f>
        <v>3.8419999999999996</v>
      </c>
      <c r="Y346" s="3">
        <f t="shared" si="30"/>
        <v>652.94789999999989</v>
      </c>
      <c r="Z346" s="3">
        <v>174.22</v>
      </c>
      <c r="AA346" s="2" cm="1">
        <f t="array" ref="AA346">SUM($F$2:$F$27*($C$2:$C$27=$Q$3))</f>
        <v>2.1331000000000002</v>
      </c>
      <c r="AB346" s="3">
        <f t="shared" si="31"/>
        <v>371.62868200000003</v>
      </c>
      <c r="AC346" s="3">
        <v>18.510000000000002</v>
      </c>
      <c r="AD346" s="2" cm="1">
        <f t="array" ref="AD346">SUM($F$2:$F$27*($C$2:$C$27=$Q$4))</f>
        <v>12.567</v>
      </c>
      <c r="AE346" s="3">
        <f t="shared" si="32"/>
        <v>232.61517000000003</v>
      </c>
      <c r="AF346" s="3">
        <v>13.88</v>
      </c>
      <c r="AG346" s="2" cm="1">
        <f t="array" ref="AG346">SUM($F$2:$F$27*($C$2:$C$27=$Q$5))</f>
        <v>8.8089999999999993</v>
      </c>
      <c r="AH346" s="3">
        <f t="shared" si="33"/>
        <v>122.26891999999999</v>
      </c>
      <c r="AI346" s="3">
        <v>19.93</v>
      </c>
      <c r="AJ346" s="2" cm="1">
        <f t="array" ref="AJ346">SUM($F$2:$F$27*($C$2:$C$27=$Q$6))</f>
        <v>0</v>
      </c>
      <c r="AK346" s="3">
        <f t="shared" si="34"/>
        <v>0</v>
      </c>
      <c r="AL346" s="3">
        <v>15.3</v>
      </c>
      <c r="AM346" s="2" cm="1">
        <f t="array" ref="AM346">SUM($F$2:$F$27*($C$2:$C$27=$Q$8))</f>
        <v>0</v>
      </c>
      <c r="AN346" s="3">
        <f t="shared" si="35"/>
        <v>0</v>
      </c>
      <c r="AO346" s="3">
        <f>SUM(J2:J27)</f>
        <v>719.2399999999999</v>
      </c>
      <c r="AP3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2098.7006719999999</v>
      </c>
      <c r="AQ346" s="3" cm="1">
        <f t="array" aca="1" ref="AQ346" ca="1">OFFSET(Table7[[#This Row],[Investment Increase]],0,-1)-SUM($J$2:$J$27*($E$2:$E$27=$Q$31))</f>
        <v>298.70067199999994</v>
      </c>
    </row>
    <row r="347" spans="22:43" x14ac:dyDescent="0.45">
      <c r="V347" s="9">
        <v>44246</v>
      </c>
      <c r="W347" s="3">
        <v>174.25</v>
      </c>
      <c r="X347" s="2" cm="1">
        <f t="array" ref="X347">SUM($F$2:$F$27*($C$2:$C$27=$Q$2))</f>
        <v>3.8419999999999996</v>
      </c>
      <c r="Y347" s="3">
        <f t="shared" si="30"/>
        <v>669.46849999999995</v>
      </c>
      <c r="Z347" s="3">
        <v>179.25</v>
      </c>
      <c r="AA347" s="2" cm="1">
        <f t="array" ref="AA347">SUM($F$2:$F$27*($C$2:$C$27=$Q$3))</f>
        <v>2.1331000000000002</v>
      </c>
      <c r="AB347" s="3">
        <f t="shared" si="31"/>
        <v>382.35817500000002</v>
      </c>
      <c r="AC347" s="3">
        <v>18.96</v>
      </c>
      <c r="AD347" s="2" cm="1">
        <f t="array" ref="AD347">SUM($F$2:$F$27*($C$2:$C$27=$Q$4))</f>
        <v>12.567</v>
      </c>
      <c r="AE347" s="3">
        <f t="shared" si="32"/>
        <v>238.27032000000003</v>
      </c>
      <c r="AF347" s="3">
        <v>14.03</v>
      </c>
      <c r="AG347" s="2" cm="1">
        <f t="array" ref="AG347">SUM($F$2:$F$27*($C$2:$C$27=$Q$5))</f>
        <v>8.8089999999999993</v>
      </c>
      <c r="AH347" s="3">
        <f t="shared" si="33"/>
        <v>123.59026999999999</v>
      </c>
      <c r="AI347" s="3">
        <v>20.05</v>
      </c>
      <c r="AJ347" s="2" cm="1">
        <f t="array" ref="AJ347">SUM($F$2:$F$27*($C$2:$C$27=$Q$6))</f>
        <v>0</v>
      </c>
      <c r="AK347" s="3">
        <f t="shared" si="34"/>
        <v>0</v>
      </c>
      <c r="AL347" s="3">
        <v>15.17</v>
      </c>
      <c r="AM347" s="2" cm="1">
        <f t="array" ref="AM347">SUM($F$2:$F$27*($C$2:$C$27=$Q$8))</f>
        <v>0</v>
      </c>
      <c r="AN347" s="3">
        <f t="shared" si="35"/>
        <v>0</v>
      </c>
      <c r="AO347" s="3">
        <f>SUM(J2:J27)</f>
        <v>719.2399999999999</v>
      </c>
      <c r="AP3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2132.9272649999998</v>
      </c>
      <c r="AQ347" s="3" cm="1">
        <f t="array" aca="1" ref="AQ347" ca="1">OFFSET(Table7[[#This Row],[Investment Increase]],0,-1)-SUM($J$2:$J$27*($E$2:$E$27=$Q$31))</f>
        <v>332.92726499999981</v>
      </c>
    </row>
    <row r="348" spans="22:43" x14ac:dyDescent="0.45">
      <c r="V348" s="9">
        <v>44245</v>
      </c>
      <c r="W348" s="3">
        <v>174.14</v>
      </c>
      <c r="X348" s="2" cm="1">
        <f t="array" ref="X348">SUM($F$2:$F$27*($C$2:$C$27=$Q$2))</f>
        <v>3.8419999999999996</v>
      </c>
      <c r="Y348" s="3">
        <f t="shared" si="30"/>
        <v>669.0458799999999</v>
      </c>
      <c r="Z348" s="3">
        <v>178.35</v>
      </c>
      <c r="AA348" s="2" cm="1">
        <f t="array" ref="AA348">SUM($F$2:$F$27*($C$2:$C$27=$Q$3))</f>
        <v>2.1331000000000002</v>
      </c>
      <c r="AB348" s="3">
        <f t="shared" si="31"/>
        <v>380.43838500000004</v>
      </c>
      <c r="AC348" s="3">
        <v>18.95</v>
      </c>
      <c r="AD348" s="2" cm="1">
        <f t="array" ref="AD348">SUM($F$2:$F$27*($C$2:$C$27=$Q$4))</f>
        <v>12.567</v>
      </c>
      <c r="AE348" s="3">
        <f t="shared" si="32"/>
        <v>238.14464999999998</v>
      </c>
      <c r="AF348" s="3">
        <v>14.05</v>
      </c>
      <c r="AG348" s="2" cm="1">
        <f t="array" ref="AG348">SUM($F$2:$F$27*($C$2:$C$27=$Q$5))</f>
        <v>8.8089999999999993</v>
      </c>
      <c r="AH348" s="3">
        <f t="shared" si="33"/>
        <v>123.76644999999999</v>
      </c>
      <c r="AI348" s="3">
        <v>20.03</v>
      </c>
      <c r="AJ348" s="2" cm="1">
        <f t="array" ref="AJ348">SUM($F$2:$F$27*($C$2:$C$27=$Q$6))</f>
        <v>0</v>
      </c>
      <c r="AK348" s="3">
        <f t="shared" si="34"/>
        <v>0</v>
      </c>
      <c r="AL348" s="3">
        <v>14.85</v>
      </c>
      <c r="AM348" s="2" cm="1">
        <f t="array" ref="AM348">SUM($F$2:$F$27*($C$2:$C$27=$Q$8))</f>
        <v>0</v>
      </c>
      <c r="AN348" s="3">
        <f t="shared" si="35"/>
        <v>0</v>
      </c>
      <c r="AO348" s="3">
        <f>SUM(J2:J27)</f>
        <v>719.2399999999999</v>
      </c>
      <c r="AP3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2130.6353650000001</v>
      </c>
      <c r="AQ348" s="3" cm="1">
        <f t="array" aca="1" ref="AQ348" ca="1">OFFSET(Table7[[#This Row],[Investment Increase]],0,-1)-SUM($J$2:$J$27*($E$2:$E$27=$Q$31))</f>
        <v>330.63536500000009</v>
      </c>
    </row>
    <row r="349" spans="22:43" x14ac:dyDescent="0.45">
      <c r="V349" s="9">
        <v>44244</v>
      </c>
      <c r="W349" s="3">
        <v>175.39</v>
      </c>
      <c r="X349" s="2" cm="1">
        <f t="array" ref="X349">SUM($F$2:$F$27*($C$2:$C$27=$Q$2))</f>
        <v>3.8419999999999996</v>
      </c>
      <c r="Y349" s="3">
        <f t="shared" si="30"/>
        <v>673.84837999999991</v>
      </c>
      <c r="Z349" s="3">
        <v>179.97</v>
      </c>
      <c r="AA349" s="2" cm="1">
        <f t="array" ref="AA349">SUM($F$2:$F$27*($C$2:$C$27=$Q$3))</f>
        <v>2.1331000000000002</v>
      </c>
      <c r="AB349" s="3">
        <f t="shared" si="31"/>
        <v>383.89400700000004</v>
      </c>
      <c r="AC349" s="3">
        <v>19.059999999999999</v>
      </c>
      <c r="AD349" s="2" cm="1">
        <f t="array" ref="AD349">SUM($F$2:$F$27*($C$2:$C$27=$Q$4))</f>
        <v>12.567</v>
      </c>
      <c r="AE349" s="3">
        <f t="shared" si="32"/>
        <v>239.52701999999999</v>
      </c>
      <c r="AF349" s="3">
        <v>14.11</v>
      </c>
      <c r="AG349" s="2" cm="1">
        <f t="array" ref="AG349">SUM($F$2:$F$27*($C$2:$C$27=$Q$5))</f>
        <v>8.8089999999999993</v>
      </c>
      <c r="AH349" s="3">
        <f t="shared" si="33"/>
        <v>124.29498999999998</v>
      </c>
      <c r="AI349" s="3">
        <v>20.16</v>
      </c>
      <c r="AJ349" s="2" cm="1">
        <f t="array" ref="AJ349">SUM($F$2:$F$27*($C$2:$C$27=$Q$6))</f>
        <v>0</v>
      </c>
      <c r="AK349" s="3">
        <f t="shared" si="34"/>
        <v>0</v>
      </c>
      <c r="AL349" s="3">
        <v>14.98</v>
      </c>
      <c r="AM349" s="2" cm="1">
        <f t="array" ref="AM349">SUM($F$2:$F$27*($C$2:$C$27=$Q$8))</f>
        <v>0</v>
      </c>
      <c r="AN349" s="3">
        <f t="shared" si="35"/>
        <v>0</v>
      </c>
      <c r="AO349" s="3">
        <f>SUM(J2:J27)</f>
        <v>719.2399999999999</v>
      </c>
      <c r="AP3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2140.8043969999999</v>
      </c>
      <c r="AQ349" s="3" cm="1">
        <f t="array" aca="1" ref="AQ349" ca="1">OFFSET(Table7[[#This Row],[Investment Increase]],0,-1)-SUM($J$2:$J$27*($E$2:$E$27=$Q$31))</f>
        <v>340.80439699999988</v>
      </c>
    </row>
    <row r="350" spans="22:43" x14ac:dyDescent="0.45">
      <c r="V350" s="9">
        <v>44243</v>
      </c>
      <c r="W350" s="3">
        <v>176.37</v>
      </c>
      <c r="X350" s="2" cm="1">
        <f t="array" ref="X350">SUM($F$2:$F$27*($C$2:$C$27=$Q$2))</f>
        <v>3.8419999999999996</v>
      </c>
      <c r="Y350" s="3">
        <f t="shared" si="30"/>
        <v>677.61353999999994</v>
      </c>
      <c r="Z350" s="3">
        <v>181.19</v>
      </c>
      <c r="AA350" s="2" cm="1">
        <f t="array" ref="AA350">SUM($F$2:$F$27*($C$2:$C$27=$Q$3))</f>
        <v>2.1331000000000002</v>
      </c>
      <c r="AB350" s="3">
        <f t="shared" si="31"/>
        <v>386.49638900000002</v>
      </c>
      <c r="AC350" s="3">
        <v>19.170000000000002</v>
      </c>
      <c r="AD350" s="2" cm="1">
        <f t="array" ref="AD350">SUM($F$2:$F$27*($C$2:$C$27=$Q$4))</f>
        <v>12.567</v>
      </c>
      <c r="AE350" s="3">
        <f t="shared" si="32"/>
        <v>240.90939000000003</v>
      </c>
      <c r="AF350" s="3">
        <v>14.12</v>
      </c>
      <c r="AG350" s="2" cm="1">
        <f t="array" ref="AG350">SUM($F$2:$F$27*($C$2:$C$27=$Q$5))</f>
        <v>8.8089999999999993</v>
      </c>
      <c r="AH350" s="3">
        <f t="shared" si="33"/>
        <v>124.38307999999998</v>
      </c>
      <c r="AI350" s="3">
        <v>20.18</v>
      </c>
      <c r="AJ350" s="2" cm="1">
        <f t="array" ref="AJ350">SUM($F$2:$F$27*($C$2:$C$27=$Q$6))</f>
        <v>0</v>
      </c>
      <c r="AK350" s="3">
        <f t="shared" si="34"/>
        <v>0</v>
      </c>
      <c r="AL350" s="3">
        <v>14.98</v>
      </c>
      <c r="AM350" s="2" cm="1">
        <f t="array" ref="AM350">SUM($F$2:$F$27*($C$2:$C$27=$Q$8))</f>
        <v>0</v>
      </c>
      <c r="AN350" s="3">
        <f t="shared" si="35"/>
        <v>0</v>
      </c>
      <c r="AO350" s="3">
        <f>SUM(J2:J27)</f>
        <v>719.2399999999999</v>
      </c>
      <c r="AP3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2148.6423989999998</v>
      </c>
      <c r="AQ350" s="3" cm="1">
        <f t="array" aca="1" ref="AQ350" ca="1">OFFSET(Table7[[#This Row],[Investment Increase]],0,-1)-SUM($J$2:$J$27*($E$2:$E$27=$Q$31))</f>
        <v>348.64239899999984</v>
      </c>
    </row>
    <row r="351" spans="22:43" x14ac:dyDescent="0.45">
      <c r="V351" s="9">
        <v>44239</v>
      </c>
      <c r="W351" s="3">
        <v>176.98</v>
      </c>
      <c r="X351" s="2" cm="1">
        <f t="array" ref="X351">SUM($F$2:$F$27*($C$2:$C$27=$Q$2))</f>
        <v>3.8419999999999996</v>
      </c>
      <c r="Y351" s="3">
        <f t="shared" si="30"/>
        <v>679.95715999999993</v>
      </c>
      <c r="Z351" s="3">
        <v>181.65</v>
      </c>
      <c r="AA351" s="2" cm="1">
        <f t="array" ref="AA351">SUM($F$2:$F$27*($C$2:$C$27=$Q$3))</f>
        <v>2.1331000000000002</v>
      </c>
      <c r="AB351" s="3">
        <f t="shared" si="31"/>
        <v>387.47761500000007</v>
      </c>
      <c r="AC351" s="3">
        <v>19.190000000000001</v>
      </c>
      <c r="AD351" s="2" cm="1">
        <f t="array" ref="AD351">SUM($F$2:$F$27*($C$2:$C$27=$Q$4))</f>
        <v>12.567</v>
      </c>
      <c r="AE351" s="3">
        <f t="shared" si="32"/>
        <v>241.16073000000003</v>
      </c>
      <c r="AF351" s="3">
        <v>14.13</v>
      </c>
      <c r="AG351" s="2" cm="1">
        <f t="array" ref="AG351">SUM($F$2:$F$27*($C$2:$C$27=$Q$5))</f>
        <v>8.8089999999999993</v>
      </c>
      <c r="AH351" s="3">
        <f t="shared" si="33"/>
        <v>124.47117</v>
      </c>
      <c r="AI351" s="3">
        <v>20.14</v>
      </c>
      <c r="AJ351" s="2" cm="1">
        <f t="array" ref="AJ351">SUM($F$2:$F$27*($C$2:$C$27=$Q$6))</f>
        <v>0</v>
      </c>
      <c r="AK351" s="3">
        <f t="shared" si="34"/>
        <v>0</v>
      </c>
      <c r="AL351" s="3">
        <v>14.61</v>
      </c>
      <c r="AM351" s="2" cm="1">
        <f t="array" ref="AM351">SUM($F$2:$F$27*($C$2:$C$27=$Q$8))</f>
        <v>0</v>
      </c>
      <c r="AN351" s="3">
        <f t="shared" si="35"/>
        <v>0</v>
      </c>
      <c r="AO351" s="3">
        <f>SUM(J2:J27)</f>
        <v>719.2399999999999</v>
      </c>
      <c r="AP3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2152.3066749999998</v>
      </c>
      <c r="AQ351" s="3" cm="1">
        <f t="array" aca="1" ref="AQ351" ca="1">OFFSET(Table7[[#This Row],[Investment Increase]],0,-1)-SUM($J$2:$J$27*($E$2:$E$27=$Q$31))</f>
        <v>352.30667499999981</v>
      </c>
    </row>
    <row r="352" spans="22:43" x14ac:dyDescent="0.45">
      <c r="V352" s="9">
        <v>44238</v>
      </c>
      <c r="W352" s="3">
        <v>176.1</v>
      </c>
      <c r="X352" s="2" cm="1">
        <f t="array" ref="X352">SUM($F$2:$F$27*($C$2:$C$27=$Q$2))</f>
        <v>3.8419999999999996</v>
      </c>
      <c r="Y352" s="3">
        <f t="shared" si="30"/>
        <v>676.57619999999986</v>
      </c>
      <c r="Z352" s="3">
        <v>180.79</v>
      </c>
      <c r="AA352" s="2" cm="1">
        <f t="array" ref="AA352">SUM($F$2:$F$27*($C$2:$C$27=$Q$3))</f>
        <v>2.1331000000000002</v>
      </c>
      <c r="AB352" s="3">
        <f t="shared" si="31"/>
        <v>385.64314900000005</v>
      </c>
      <c r="AC352" s="3">
        <v>19.09</v>
      </c>
      <c r="AD352" s="2" cm="1">
        <f t="array" ref="AD352">SUM($F$2:$F$27*($C$2:$C$27=$Q$4))</f>
        <v>12.567</v>
      </c>
      <c r="AE352" s="3">
        <f t="shared" si="32"/>
        <v>239.90403000000001</v>
      </c>
      <c r="AF352" s="3">
        <v>14.06</v>
      </c>
      <c r="AG352" s="2" cm="1">
        <f t="array" ref="AG352">SUM($F$2:$F$27*($C$2:$C$27=$Q$5))</f>
        <v>8.8089999999999993</v>
      </c>
      <c r="AH352" s="3">
        <f t="shared" si="33"/>
        <v>123.85454</v>
      </c>
      <c r="AI352" s="3">
        <v>20.05</v>
      </c>
      <c r="AJ352" s="2" cm="1">
        <f t="array" ref="AJ352">SUM($F$2:$F$27*($C$2:$C$27=$Q$6))</f>
        <v>0</v>
      </c>
      <c r="AK352" s="3">
        <f t="shared" si="34"/>
        <v>0</v>
      </c>
      <c r="AL352" s="3">
        <v>14.44</v>
      </c>
      <c r="AM352" s="2" cm="1">
        <f t="array" ref="AM352">SUM($F$2:$F$27*($C$2:$C$27=$Q$8))</f>
        <v>0</v>
      </c>
      <c r="AN352" s="3">
        <f t="shared" si="35"/>
        <v>0</v>
      </c>
      <c r="AO352" s="3">
        <f>SUM(J2:J27)</f>
        <v>719.2399999999999</v>
      </c>
      <c r="AP3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2145.2179189999997</v>
      </c>
      <c r="AQ352" s="3" cm="1">
        <f t="array" aca="1" ref="AQ352" ca="1">OFFSET(Table7[[#This Row],[Investment Increase]],0,-1)-SUM($J$2:$J$27*($E$2:$E$27=$Q$31))</f>
        <v>345.21791899999971</v>
      </c>
    </row>
    <row r="353" spans="22:43" x14ac:dyDescent="0.45">
      <c r="V353" s="9">
        <v>44237</v>
      </c>
      <c r="W353" s="3">
        <v>175.38</v>
      </c>
      <c r="X353" s="2" cm="1">
        <f t="array" ref="X353">SUM($F$2:$F$27*($C$2:$C$27=$Q$2))</f>
        <v>3.8419999999999996</v>
      </c>
      <c r="Y353" s="3">
        <f t="shared" si="30"/>
        <v>673.80995999999993</v>
      </c>
      <c r="Z353" s="3">
        <v>179.88</v>
      </c>
      <c r="AA353" s="2" cm="1">
        <f t="array" ref="AA353">SUM($F$2:$F$27*($C$2:$C$27=$Q$3))</f>
        <v>2.1331000000000002</v>
      </c>
      <c r="AB353" s="3">
        <f t="shared" si="31"/>
        <v>383.70202800000004</v>
      </c>
      <c r="AC353" s="3">
        <v>18.96</v>
      </c>
      <c r="AD353" s="2" cm="1">
        <f t="array" ref="AD353">SUM($F$2:$F$27*($C$2:$C$27=$Q$4))</f>
        <v>12.567</v>
      </c>
      <c r="AE353" s="3">
        <f t="shared" si="32"/>
        <v>238.27032000000003</v>
      </c>
      <c r="AF353" s="3">
        <v>14.03</v>
      </c>
      <c r="AG353" s="2" cm="1">
        <f t="array" ref="AG353">SUM($F$2:$F$27*($C$2:$C$27=$Q$5))</f>
        <v>8.8089999999999993</v>
      </c>
      <c r="AH353" s="3">
        <f t="shared" si="33"/>
        <v>123.59026999999999</v>
      </c>
      <c r="AI353" s="3">
        <v>20.02</v>
      </c>
      <c r="AJ353" s="2" cm="1">
        <f t="array" ref="AJ353">SUM($F$2:$F$27*($C$2:$C$27=$Q$6))</f>
        <v>0</v>
      </c>
      <c r="AK353" s="3">
        <f t="shared" si="34"/>
        <v>0</v>
      </c>
      <c r="AL353" s="3">
        <v>14.46</v>
      </c>
      <c r="AM353" s="2" cm="1">
        <f t="array" ref="AM353">SUM($F$2:$F$27*($C$2:$C$27=$Q$8))</f>
        <v>0</v>
      </c>
      <c r="AN353" s="3">
        <f t="shared" si="35"/>
        <v>0</v>
      </c>
      <c r="AO353" s="3">
        <f>SUM(J2:J27)</f>
        <v>719.2399999999999</v>
      </c>
      <c r="AP3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2138.6125779999998</v>
      </c>
      <c r="AQ353" s="3" cm="1">
        <f t="array" aca="1" ref="AQ353" ca="1">OFFSET(Table7[[#This Row],[Investment Increase]],0,-1)-SUM($J$2:$J$27*($E$2:$E$27=$Q$31))</f>
        <v>338.61257799999976</v>
      </c>
    </row>
    <row r="354" spans="22:43" x14ac:dyDescent="0.45">
      <c r="V354" s="9">
        <v>44236</v>
      </c>
      <c r="W354" s="3">
        <v>175.84</v>
      </c>
      <c r="X354" s="2" cm="1">
        <f t="array" ref="X354">SUM($F$2:$F$27*($C$2:$C$27=$Q$2))</f>
        <v>3.8419999999999996</v>
      </c>
      <c r="Y354" s="3">
        <f t="shared" si="30"/>
        <v>675.57727999999997</v>
      </c>
      <c r="Z354" s="3">
        <v>179.38</v>
      </c>
      <c r="AA354" s="2" cm="1">
        <f t="array" ref="AA354">SUM($F$2:$F$27*($C$2:$C$27=$Q$3))</f>
        <v>2.1331000000000002</v>
      </c>
      <c r="AB354" s="3">
        <f t="shared" si="31"/>
        <v>382.63547800000003</v>
      </c>
      <c r="AC354" s="3">
        <v>18.89</v>
      </c>
      <c r="AD354" s="2" cm="1">
        <f t="array" ref="AD354">SUM($F$2:$F$27*($C$2:$C$27=$Q$4))</f>
        <v>12.567</v>
      </c>
      <c r="AE354" s="3">
        <f t="shared" si="32"/>
        <v>237.39063000000002</v>
      </c>
      <c r="AF354" s="3">
        <v>14.03</v>
      </c>
      <c r="AG354" s="2" cm="1">
        <f t="array" ref="AG354">SUM($F$2:$F$27*($C$2:$C$27=$Q$5))</f>
        <v>8.8089999999999993</v>
      </c>
      <c r="AH354" s="3">
        <f t="shared" si="33"/>
        <v>123.59026999999999</v>
      </c>
      <c r="AI354" s="3">
        <v>20.03</v>
      </c>
      <c r="AJ354" s="2" cm="1">
        <f t="array" ref="AJ354">SUM($F$2:$F$27*($C$2:$C$27=$Q$6))</f>
        <v>0</v>
      </c>
      <c r="AK354" s="3">
        <f t="shared" si="34"/>
        <v>0</v>
      </c>
      <c r="AL354" s="3">
        <v>14.4</v>
      </c>
      <c r="AM354" s="2" cm="1">
        <f t="array" ref="AM354">SUM($F$2:$F$27*($C$2:$C$27=$Q$8))</f>
        <v>0</v>
      </c>
      <c r="AN354" s="3">
        <f t="shared" si="35"/>
        <v>0</v>
      </c>
      <c r="AO354" s="3">
        <f>SUM(J2:J27)</f>
        <v>719.2399999999999</v>
      </c>
      <c r="AP3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2138.4336579999999</v>
      </c>
      <c r="AQ354" s="3" cm="1">
        <f t="array" aca="1" ref="AQ354" ca="1">OFFSET(Table7[[#This Row],[Investment Increase]],0,-1)-SUM($J$2:$J$27*($E$2:$E$27=$Q$31))</f>
        <v>338.43365799999992</v>
      </c>
    </row>
    <row r="355" spans="22:43" x14ac:dyDescent="0.45">
      <c r="V355" s="9">
        <v>44235</v>
      </c>
      <c r="W355" s="3">
        <v>175.61</v>
      </c>
      <c r="X355" s="2" cm="1">
        <f t="array" ref="X355">SUM($F$2:$F$27*($C$2:$C$27=$Q$2))</f>
        <v>3.8419999999999996</v>
      </c>
      <c r="Y355" s="3">
        <f t="shared" si="30"/>
        <v>674.69362000000001</v>
      </c>
      <c r="Z355" s="3">
        <v>179.25</v>
      </c>
      <c r="AA355" s="2" cm="1">
        <f t="array" ref="AA355">SUM($F$2:$F$27*($C$2:$C$27=$Q$3))</f>
        <v>2.1331000000000002</v>
      </c>
      <c r="AB355" s="3">
        <f t="shared" si="31"/>
        <v>382.35817500000002</v>
      </c>
      <c r="AC355" s="3">
        <v>18.899999999999999</v>
      </c>
      <c r="AD355" s="2" cm="1">
        <f t="array" ref="AD355">SUM($F$2:$F$27*($C$2:$C$27=$Q$4))</f>
        <v>12.567</v>
      </c>
      <c r="AE355" s="3">
        <f t="shared" si="32"/>
        <v>237.51629999999997</v>
      </c>
      <c r="AF355" s="3">
        <v>14.04</v>
      </c>
      <c r="AG355" s="2" cm="1">
        <f t="array" ref="AG355">SUM($F$2:$F$27*($C$2:$C$27=$Q$5))</f>
        <v>8.8089999999999993</v>
      </c>
      <c r="AH355" s="3">
        <f t="shared" si="33"/>
        <v>123.67835999999998</v>
      </c>
      <c r="AI355" s="3">
        <v>20.079999999999998</v>
      </c>
      <c r="AJ355" s="2" cm="1">
        <f t="array" ref="AJ355">SUM($F$2:$F$27*($C$2:$C$27=$Q$6))</f>
        <v>0</v>
      </c>
      <c r="AK355" s="3">
        <f t="shared" si="34"/>
        <v>0</v>
      </c>
      <c r="AL355" s="3">
        <v>14.44</v>
      </c>
      <c r="AM355" s="2" cm="1">
        <f t="array" ref="AM355">SUM($F$2:$F$27*($C$2:$C$27=$Q$8))</f>
        <v>0</v>
      </c>
      <c r="AN355" s="3">
        <f t="shared" si="35"/>
        <v>0</v>
      </c>
      <c r="AO355" s="3">
        <f>SUM(J2:J27)</f>
        <v>719.2399999999999</v>
      </c>
      <c r="AP3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2137.4864549999998</v>
      </c>
      <c r="AQ355" s="3" cm="1">
        <f t="array" aca="1" ref="AQ355" ca="1">OFFSET(Table7[[#This Row],[Investment Increase]],0,-1)-SUM($J$2:$J$27*($E$2:$E$27=$Q$31))</f>
        <v>337.48645499999975</v>
      </c>
    </row>
    <row r="356" spans="22:43" x14ac:dyDescent="0.45">
      <c r="V356" s="9">
        <v>44232</v>
      </c>
      <c r="W356" s="3">
        <v>173.96</v>
      </c>
      <c r="X356" s="2" cm="1">
        <f t="array" ref="X356">SUM($F$2:$F$27*($C$2:$C$27=$Q$2))</f>
        <v>3.8419999999999996</v>
      </c>
      <c r="Y356" s="3">
        <f t="shared" si="30"/>
        <v>668.35431999999992</v>
      </c>
      <c r="Z356" s="3">
        <v>177.5</v>
      </c>
      <c r="AA356" s="2" cm="1">
        <f t="array" ref="AA356">SUM($F$2:$F$27*($C$2:$C$27=$Q$3))</f>
        <v>2.1331000000000002</v>
      </c>
      <c r="AB356" s="3">
        <f t="shared" si="31"/>
        <v>378.62525000000005</v>
      </c>
      <c r="AC356" s="3">
        <v>18.75</v>
      </c>
      <c r="AD356" s="2" cm="1">
        <f t="array" ref="AD356">SUM($F$2:$F$27*($C$2:$C$27=$Q$4))</f>
        <v>12.567</v>
      </c>
      <c r="AE356" s="3">
        <f t="shared" si="32"/>
        <v>235.63124999999999</v>
      </c>
      <c r="AF356" s="3">
        <v>13.94</v>
      </c>
      <c r="AG356" s="2" cm="1">
        <f t="array" ref="AG356">SUM($F$2:$F$27*($C$2:$C$27=$Q$5))</f>
        <v>8.8089999999999993</v>
      </c>
      <c r="AH356" s="3">
        <f t="shared" si="33"/>
        <v>122.79745999999999</v>
      </c>
      <c r="AI356" s="3">
        <v>19.899999999999999</v>
      </c>
      <c r="AJ356" s="2" cm="1">
        <f t="array" ref="AJ356">SUM($F$2:$F$27*($C$2:$C$27=$Q$6))</f>
        <v>0</v>
      </c>
      <c r="AK356" s="3">
        <f t="shared" si="34"/>
        <v>0</v>
      </c>
      <c r="AL356" s="3">
        <v>14.11</v>
      </c>
      <c r="AM356" s="2" cm="1">
        <f t="array" ref="AM356">SUM($F$2:$F$27*($C$2:$C$27=$Q$8))</f>
        <v>0</v>
      </c>
      <c r="AN356" s="3">
        <f t="shared" si="35"/>
        <v>0</v>
      </c>
      <c r="AO356" s="3">
        <f>SUM(J2:J27)</f>
        <v>719.2399999999999</v>
      </c>
      <c r="AP3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2124.6482799999999</v>
      </c>
      <c r="AQ356" s="3" cm="1">
        <f t="array" aca="1" ref="AQ356" ca="1">OFFSET(Table7[[#This Row],[Investment Increase]],0,-1)-SUM($J$2:$J$27*($E$2:$E$27=$Q$31))</f>
        <v>324.64827999999989</v>
      </c>
    </row>
    <row r="357" spans="22:43" x14ac:dyDescent="0.45">
      <c r="V357" s="9">
        <v>44231</v>
      </c>
      <c r="W357" s="3">
        <v>172.94</v>
      </c>
      <c r="X357" s="2" cm="1">
        <f t="array" ref="X357">SUM($F$2:$F$27*($C$2:$C$27=$Q$2))</f>
        <v>3.8419999999999996</v>
      </c>
      <c r="Y357" s="3">
        <f t="shared" si="30"/>
        <v>664.43547999999998</v>
      </c>
      <c r="Z357" s="3">
        <v>175.82</v>
      </c>
      <c r="AA357" s="2" cm="1">
        <f t="array" ref="AA357">SUM($F$2:$F$27*($C$2:$C$27=$Q$3))</f>
        <v>2.1331000000000002</v>
      </c>
      <c r="AB357" s="3">
        <f t="shared" si="31"/>
        <v>375.04164200000002</v>
      </c>
      <c r="AC357" s="3">
        <v>18.63</v>
      </c>
      <c r="AD357" s="2" cm="1">
        <f t="array" ref="AD357">SUM($F$2:$F$27*($C$2:$C$27=$Q$4))</f>
        <v>12.567</v>
      </c>
      <c r="AE357" s="3">
        <f t="shared" si="32"/>
        <v>234.12321</v>
      </c>
      <c r="AF357" s="3">
        <v>13.88</v>
      </c>
      <c r="AG357" s="2" cm="1">
        <f t="array" ref="AG357">SUM($F$2:$F$27*($C$2:$C$27=$Q$5))</f>
        <v>8.8089999999999993</v>
      </c>
      <c r="AH357" s="3">
        <f t="shared" si="33"/>
        <v>122.26891999999999</v>
      </c>
      <c r="AI357" s="3">
        <v>19.82</v>
      </c>
      <c r="AJ357" s="2" cm="1">
        <f t="array" ref="AJ357">SUM($F$2:$F$27*($C$2:$C$27=$Q$6))</f>
        <v>0</v>
      </c>
      <c r="AK357" s="3">
        <f t="shared" si="34"/>
        <v>0</v>
      </c>
      <c r="AL357" s="3">
        <v>13.88</v>
      </c>
      <c r="AM357" s="2" cm="1">
        <f t="array" ref="AM357">SUM($F$2:$F$27*($C$2:$C$27=$Q$8))</f>
        <v>0</v>
      </c>
      <c r="AN357" s="3">
        <f t="shared" si="35"/>
        <v>0</v>
      </c>
      <c r="AO357" s="3">
        <f>SUM(J2:J27)</f>
        <v>719.2399999999999</v>
      </c>
      <c r="AP3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2115.1092519999997</v>
      </c>
      <c r="AQ357" s="3" cm="1">
        <f t="array" aca="1" ref="AQ357" ca="1">OFFSET(Table7[[#This Row],[Investment Increase]],0,-1)-SUM($J$2:$J$27*($E$2:$E$27=$Q$31))</f>
        <v>315.10925199999974</v>
      </c>
    </row>
    <row r="358" spans="22:43" x14ac:dyDescent="0.45">
      <c r="V358" s="9">
        <v>44230</v>
      </c>
      <c r="W358" s="3">
        <v>170.82</v>
      </c>
      <c r="X358" s="2" cm="1">
        <f t="array" ref="X358">SUM($F$2:$F$27*($C$2:$C$27=$Q$2))</f>
        <v>3.8419999999999996</v>
      </c>
      <c r="Y358" s="3">
        <f t="shared" si="30"/>
        <v>656.29043999999988</v>
      </c>
      <c r="Z358" s="3">
        <v>173.39</v>
      </c>
      <c r="AA358" s="2" cm="1">
        <f t="array" ref="AA358">SUM($F$2:$F$27*($C$2:$C$27=$Q$3))</f>
        <v>2.1331000000000002</v>
      </c>
      <c r="AB358" s="3">
        <f t="shared" si="31"/>
        <v>369.85820899999999</v>
      </c>
      <c r="AC358" s="3">
        <v>18.43</v>
      </c>
      <c r="AD358" s="2" cm="1">
        <f t="array" ref="AD358">SUM($F$2:$F$27*($C$2:$C$27=$Q$4))</f>
        <v>12.567</v>
      </c>
      <c r="AE358" s="3">
        <f t="shared" si="32"/>
        <v>231.60981000000001</v>
      </c>
      <c r="AF358" s="3">
        <v>13.72</v>
      </c>
      <c r="AG358" s="2" cm="1">
        <f t="array" ref="AG358">SUM($F$2:$F$27*($C$2:$C$27=$Q$5))</f>
        <v>8.8089999999999993</v>
      </c>
      <c r="AH358" s="3">
        <f t="shared" si="33"/>
        <v>120.85947999999999</v>
      </c>
      <c r="AI358" s="3">
        <v>19.61</v>
      </c>
      <c r="AJ358" s="2" cm="1">
        <f t="array" ref="AJ358">SUM($F$2:$F$27*($C$2:$C$27=$Q$6))</f>
        <v>0</v>
      </c>
      <c r="AK358" s="3">
        <f t="shared" si="34"/>
        <v>0</v>
      </c>
      <c r="AL358" s="3">
        <v>13.83</v>
      </c>
      <c r="AM358" s="2" cm="1">
        <f t="array" ref="AM358">SUM($F$2:$F$27*($C$2:$C$27=$Q$8))</f>
        <v>0</v>
      </c>
      <c r="AN358" s="3">
        <f t="shared" si="35"/>
        <v>0</v>
      </c>
      <c r="AO358" s="3">
        <f>SUM(J2:J27)</f>
        <v>719.2399999999999</v>
      </c>
      <c r="AP3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2097.8579389999995</v>
      </c>
      <c r="AQ358" s="3" cm="1">
        <f t="array" aca="1" ref="AQ358" ca="1">OFFSET(Table7[[#This Row],[Investment Increase]],0,-1)-SUM($J$2:$J$27*($E$2:$E$27=$Q$31))</f>
        <v>297.85793899999953</v>
      </c>
    </row>
    <row r="359" spans="22:43" x14ac:dyDescent="0.45">
      <c r="V359" s="9">
        <v>44229</v>
      </c>
      <c r="W359" s="3">
        <v>170.85</v>
      </c>
      <c r="X359" s="2" cm="1">
        <f t="array" ref="X359">SUM($F$2:$F$27*($C$2:$C$27=$Q$2))</f>
        <v>3.8419999999999996</v>
      </c>
      <c r="Y359" s="3">
        <f t="shared" si="30"/>
        <v>656.40569999999991</v>
      </c>
      <c r="Z359" s="3">
        <v>172.85</v>
      </c>
      <c r="AA359" s="2" cm="1">
        <f t="array" ref="AA359">SUM($F$2:$F$27*($C$2:$C$27=$Q$3))</f>
        <v>2.1331000000000002</v>
      </c>
      <c r="AB359" s="3">
        <f t="shared" si="31"/>
        <v>368.70633500000002</v>
      </c>
      <c r="AC359" s="3">
        <v>18.38</v>
      </c>
      <c r="AD359" s="2" cm="1">
        <f t="array" ref="AD359">SUM($F$2:$F$27*($C$2:$C$27=$Q$4))</f>
        <v>12.567</v>
      </c>
      <c r="AE359" s="3">
        <f t="shared" si="32"/>
        <v>230.98146</v>
      </c>
      <c r="AF359" s="3">
        <v>13.72</v>
      </c>
      <c r="AG359" s="2" cm="1">
        <f t="array" ref="AG359">SUM($F$2:$F$27*($C$2:$C$27=$Q$5))</f>
        <v>8.8089999999999993</v>
      </c>
      <c r="AH359" s="3">
        <f t="shared" si="33"/>
        <v>120.85947999999999</v>
      </c>
      <c r="AI359" s="3">
        <v>19.53</v>
      </c>
      <c r="AJ359" s="2" cm="1">
        <f t="array" ref="AJ359">SUM($F$2:$F$27*($C$2:$C$27=$Q$6))</f>
        <v>0</v>
      </c>
      <c r="AK359" s="3">
        <f t="shared" si="34"/>
        <v>0</v>
      </c>
      <c r="AL359" s="3">
        <v>13.65</v>
      </c>
      <c r="AM359" s="2" cm="1">
        <f t="array" ref="AM359">SUM($F$2:$F$27*($C$2:$C$27=$Q$8))</f>
        <v>0</v>
      </c>
      <c r="AN359" s="3">
        <f t="shared" si="35"/>
        <v>0</v>
      </c>
      <c r="AO359" s="3">
        <f>SUM(J2:J27)</f>
        <v>719.2399999999999</v>
      </c>
      <c r="AP3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2096.1929749999999</v>
      </c>
      <c r="AQ359" s="3" cm="1">
        <f t="array" aca="1" ref="AQ359" ca="1">OFFSET(Table7[[#This Row],[Investment Increase]],0,-1)-SUM($J$2:$J$27*($E$2:$E$27=$Q$31))</f>
        <v>296.19297499999993</v>
      </c>
    </row>
    <row r="360" spans="22:43" x14ac:dyDescent="0.45">
      <c r="V360" s="9">
        <v>44228</v>
      </c>
      <c r="W360" s="3">
        <v>168.22</v>
      </c>
      <c r="X360" s="2" cm="1">
        <f t="array" ref="X360">SUM($F$2:$F$27*($C$2:$C$27=$Q$2))</f>
        <v>3.8419999999999996</v>
      </c>
      <c r="Y360" s="3">
        <f t="shared" si="30"/>
        <v>646.30123999999989</v>
      </c>
      <c r="Z360" s="3">
        <v>169.41</v>
      </c>
      <c r="AA360" s="2" cm="1">
        <f t="array" ref="AA360">SUM($F$2:$F$27*($C$2:$C$27=$Q$3))</f>
        <v>2.1331000000000002</v>
      </c>
      <c r="AB360" s="3">
        <f t="shared" si="31"/>
        <v>361.36847100000006</v>
      </c>
      <c r="AC360" s="3">
        <v>18.05</v>
      </c>
      <c r="AD360" s="2" cm="1">
        <f t="array" ref="AD360">SUM($F$2:$F$27*($C$2:$C$27=$Q$4))</f>
        <v>12.567</v>
      </c>
      <c r="AE360" s="3">
        <f t="shared" si="32"/>
        <v>226.83435</v>
      </c>
      <c r="AF360" s="3">
        <v>13.52</v>
      </c>
      <c r="AG360" s="2" cm="1">
        <f t="array" ref="AG360">SUM($F$2:$F$27*($C$2:$C$27=$Q$5))</f>
        <v>8.8089999999999993</v>
      </c>
      <c r="AH360" s="3">
        <f t="shared" si="33"/>
        <v>119.09767999999998</v>
      </c>
      <c r="AI360" s="3">
        <v>19.27</v>
      </c>
      <c r="AJ360" s="2" cm="1">
        <f t="array" ref="AJ360">SUM($F$2:$F$27*($C$2:$C$27=$Q$6))</f>
        <v>0</v>
      </c>
      <c r="AK360" s="3">
        <f t="shared" si="34"/>
        <v>0</v>
      </c>
      <c r="AL360" s="3">
        <v>13.63</v>
      </c>
      <c r="AM360" s="2" cm="1">
        <f t="array" ref="AM360">SUM($F$2:$F$27*($C$2:$C$27=$Q$8))</f>
        <v>0</v>
      </c>
      <c r="AN360" s="3">
        <f t="shared" si="35"/>
        <v>0</v>
      </c>
      <c r="AO360" s="3">
        <f>SUM(J2:J27)</f>
        <v>719.2399999999999</v>
      </c>
      <c r="AP3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2072.8417410000002</v>
      </c>
      <c r="AQ360" s="3" cm="1">
        <f t="array" aca="1" ref="AQ360" ca="1">OFFSET(Table7[[#This Row],[Investment Increase]],0,-1)-SUM($J$2:$J$27*($E$2:$E$27=$Q$31))</f>
        <v>272.84174100000018</v>
      </c>
    </row>
    <row r="361" spans="22:43" x14ac:dyDescent="0.45">
      <c r="V361" s="9">
        <v>44225</v>
      </c>
      <c r="W361" s="3">
        <v>164.06</v>
      </c>
      <c r="X361" s="2" cm="1">
        <f t="array" ref="X361">SUM($F$2:$F$27*($C$2:$C$27=$Q$2))</f>
        <v>3.8419999999999996</v>
      </c>
      <c r="Y361" s="3">
        <f t="shared" si="30"/>
        <v>630.31851999999992</v>
      </c>
      <c r="Z361" s="3">
        <v>164.99</v>
      </c>
      <c r="AA361" s="2" cm="1">
        <f t="array" ref="AA361">SUM($F$2:$F$27*($C$2:$C$27=$Q$3))</f>
        <v>2.1331000000000002</v>
      </c>
      <c r="AB361" s="3">
        <f t="shared" si="31"/>
        <v>351.94016900000008</v>
      </c>
      <c r="AC361" s="3">
        <v>17.600000000000001</v>
      </c>
      <c r="AD361" s="2" cm="1">
        <f t="array" ref="AD361">SUM($F$2:$F$27*($C$2:$C$27=$Q$4))</f>
        <v>12.567</v>
      </c>
      <c r="AE361" s="3">
        <f t="shared" si="32"/>
        <v>221.17920000000001</v>
      </c>
      <c r="AF361" s="3">
        <v>13.3</v>
      </c>
      <c r="AG361" s="2" cm="1">
        <f t="array" ref="AG361">SUM($F$2:$F$27*($C$2:$C$27=$Q$5))</f>
        <v>8.8089999999999993</v>
      </c>
      <c r="AH361" s="3">
        <f t="shared" si="33"/>
        <v>117.1597</v>
      </c>
      <c r="AI361" s="3">
        <v>18.95</v>
      </c>
      <c r="AJ361" s="2" cm="1">
        <f t="array" ref="AJ361">SUM($F$2:$F$27*($C$2:$C$27=$Q$6))</f>
        <v>0</v>
      </c>
      <c r="AK361" s="3">
        <f t="shared" si="34"/>
        <v>0</v>
      </c>
      <c r="AL361" s="3">
        <v>13.38</v>
      </c>
      <c r="AM361" s="2" cm="1">
        <f t="array" ref="AM361">SUM($F$2:$F$27*($C$2:$C$27=$Q$8))</f>
        <v>0</v>
      </c>
      <c r="AN361" s="3">
        <f t="shared" si="35"/>
        <v>0</v>
      </c>
      <c r="AO361" s="3">
        <f>SUM(J2:J27)</f>
        <v>719.2399999999999</v>
      </c>
      <c r="AP3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2039.8375889999998</v>
      </c>
      <c r="AQ361" s="3" cm="1">
        <f t="array" aca="1" ref="AQ361" ca="1">OFFSET(Table7[[#This Row],[Investment Increase]],0,-1)-SUM($J$2:$J$27*($E$2:$E$27=$Q$31))</f>
        <v>239.83758899999975</v>
      </c>
    </row>
    <row r="362" spans="22:43" x14ac:dyDescent="0.45">
      <c r="V362" s="9">
        <v>44224</v>
      </c>
      <c r="W362" s="3">
        <v>167.4</v>
      </c>
      <c r="X362" s="2" cm="1">
        <f t="array" ref="X362">SUM($F$2:$F$27*($C$2:$C$27=$Q$2))</f>
        <v>3.8419999999999996</v>
      </c>
      <c r="Y362" s="3">
        <f t="shared" si="30"/>
        <v>643.1508</v>
      </c>
      <c r="Z362" s="3">
        <v>168.19</v>
      </c>
      <c r="AA362" s="2" cm="1">
        <f t="array" ref="AA362">SUM($F$2:$F$27*($C$2:$C$27=$Q$3))</f>
        <v>2.1331000000000002</v>
      </c>
      <c r="AB362" s="3">
        <f t="shared" si="31"/>
        <v>358.76608900000002</v>
      </c>
      <c r="AC362" s="3">
        <v>17.97</v>
      </c>
      <c r="AD362" s="2" cm="1">
        <f t="array" ref="AD362">SUM($F$2:$F$27*($C$2:$C$27=$Q$4))</f>
        <v>12.567</v>
      </c>
      <c r="AE362" s="3">
        <f t="shared" si="32"/>
        <v>225.82898999999998</v>
      </c>
      <c r="AF362" s="3">
        <v>13.56</v>
      </c>
      <c r="AG362" s="2" cm="1">
        <f t="array" ref="AG362">SUM($F$2:$F$27*($C$2:$C$27=$Q$5))</f>
        <v>8.8089999999999993</v>
      </c>
      <c r="AH362" s="3">
        <f t="shared" si="33"/>
        <v>119.45004</v>
      </c>
      <c r="AI362" s="3">
        <v>19.309999999999999</v>
      </c>
      <c r="AJ362" s="2" cm="1">
        <f t="array" ref="AJ362">SUM($F$2:$F$27*($C$2:$C$27=$Q$6))</f>
        <v>0</v>
      </c>
      <c r="AK362" s="3">
        <f t="shared" si="34"/>
        <v>0</v>
      </c>
      <c r="AL362" s="3">
        <v>13.74</v>
      </c>
      <c r="AM362" s="2" cm="1">
        <f t="array" ref="AM362">SUM($F$2:$F$27*($C$2:$C$27=$Q$8))</f>
        <v>0</v>
      </c>
      <c r="AN362" s="3">
        <f t="shared" si="35"/>
        <v>0</v>
      </c>
      <c r="AO362" s="3">
        <f>SUM(J2:J27)</f>
        <v>719.2399999999999</v>
      </c>
      <c r="AP3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2066.435919</v>
      </c>
      <c r="AQ362" s="3" cm="1">
        <f t="array" aca="1" ref="AQ362" ca="1">OFFSET(Table7[[#This Row],[Investment Increase]],0,-1)-SUM($J$2:$J$27*($E$2:$E$27=$Q$31))</f>
        <v>266.43591900000001</v>
      </c>
    </row>
    <row r="363" spans="22:43" x14ac:dyDescent="0.45">
      <c r="V363" s="9">
        <v>44223</v>
      </c>
      <c r="W363" s="3">
        <v>166.58</v>
      </c>
      <c r="X363" s="2" cm="1">
        <f t="array" ref="X363">SUM($F$2:$F$27*($C$2:$C$27=$Q$2))</f>
        <v>3.8419999999999996</v>
      </c>
      <c r="Y363" s="3">
        <f t="shared" si="30"/>
        <v>640.00036</v>
      </c>
      <c r="Z363" s="3">
        <v>166.19</v>
      </c>
      <c r="AA363" s="2" cm="1">
        <f t="array" ref="AA363">SUM($F$2:$F$27*($C$2:$C$27=$Q$3))</f>
        <v>2.1331000000000002</v>
      </c>
      <c r="AB363" s="3">
        <f t="shared" si="31"/>
        <v>354.49988900000005</v>
      </c>
      <c r="AC363" s="3">
        <v>17.809999999999999</v>
      </c>
      <c r="AD363" s="2" cm="1">
        <f t="array" ref="AD363">SUM($F$2:$F$27*($C$2:$C$27=$Q$4))</f>
        <v>12.567</v>
      </c>
      <c r="AE363" s="3">
        <f t="shared" si="32"/>
        <v>223.81826999999998</v>
      </c>
      <c r="AF363" s="3">
        <v>13.41</v>
      </c>
      <c r="AG363" s="2" cm="1">
        <f t="array" ref="AG363">SUM($F$2:$F$27*($C$2:$C$27=$Q$5))</f>
        <v>8.8089999999999993</v>
      </c>
      <c r="AH363" s="3">
        <f t="shared" si="33"/>
        <v>118.12868999999999</v>
      </c>
      <c r="AI363" s="3">
        <v>19.11</v>
      </c>
      <c r="AJ363" s="2" cm="1">
        <f t="array" ref="AJ363">SUM($F$2:$F$27*($C$2:$C$27=$Q$6))</f>
        <v>0</v>
      </c>
      <c r="AK363" s="3">
        <f t="shared" si="34"/>
        <v>0</v>
      </c>
      <c r="AL363" s="3">
        <v>13.51</v>
      </c>
      <c r="AM363" s="2" cm="1">
        <f t="array" ref="AM363">SUM($F$2:$F$27*($C$2:$C$27=$Q$8))</f>
        <v>0</v>
      </c>
      <c r="AN363" s="3">
        <f t="shared" si="35"/>
        <v>0</v>
      </c>
      <c r="AO363" s="3">
        <f>SUM(J2:J27)</f>
        <v>719.2399999999999</v>
      </c>
      <c r="AP3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2055.6872089999997</v>
      </c>
      <c r="AQ363" s="3" cm="1">
        <f t="array" aca="1" ref="AQ363" ca="1">OFFSET(Table7[[#This Row],[Investment Increase]],0,-1)-SUM($J$2:$J$27*($E$2:$E$27=$Q$31))</f>
        <v>255.68720899999971</v>
      </c>
    </row>
    <row r="364" spans="22:43" x14ac:dyDescent="0.45">
      <c r="V364" s="9">
        <v>44222</v>
      </c>
      <c r="W364" s="3">
        <v>171.05</v>
      </c>
      <c r="X364" s="2" cm="1">
        <f t="array" ref="X364">SUM($F$2:$F$27*($C$2:$C$27=$Q$2))</f>
        <v>3.8419999999999996</v>
      </c>
      <c r="Y364" s="3">
        <f t="shared" si="30"/>
        <v>657.17409999999995</v>
      </c>
      <c r="Z364" s="3">
        <v>171.91</v>
      </c>
      <c r="AA364" s="2" cm="1">
        <f t="array" ref="AA364">SUM($F$2:$F$27*($C$2:$C$27=$Q$3))</f>
        <v>2.1331000000000002</v>
      </c>
      <c r="AB364" s="3">
        <f t="shared" si="31"/>
        <v>366.70122100000003</v>
      </c>
      <c r="AC364" s="3">
        <v>18.350000000000001</v>
      </c>
      <c r="AD364" s="2" cm="1">
        <f t="array" ref="AD364">SUM($F$2:$F$27*($C$2:$C$27=$Q$4))</f>
        <v>12.567</v>
      </c>
      <c r="AE364" s="3">
        <f t="shared" si="32"/>
        <v>230.60445000000001</v>
      </c>
      <c r="AF364" s="3">
        <v>13.77</v>
      </c>
      <c r="AG364" s="2" cm="1">
        <f t="array" ref="AG364">SUM($F$2:$F$27*($C$2:$C$27=$Q$5))</f>
        <v>8.8089999999999993</v>
      </c>
      <c r="AH364" s="3">
        <f t="shared" si="33"/>
        <v>121.29992999999999</v>
      </c>
      <c r="AI364" s="3">
        <v>19.63</v>
      </c>
      <c r="AJ364" s="2" cm="1">
        <f t="array" ref="AJ364">SUM($F$2:$F$27*($C$2:$C$27=$Q$6))</f>
        <v>0</v>
      </c>
      <c r="AK364" s="3">
        <f t="shared" si="34"/>
        <v>0</v>
      </c>
      <c r="AL364" s="3">
        <v>14</v>
      </c>
      <c r="AM364" s="2" cm="1">
        <f t="array" ref="AM364">SUM($F$2:$F$27*($C$2:$C$27=$Q$8))</f>
        <v>0</v>
      </c>
      <c r="AN364" s="3">
        <f t="shared" si="35"/>
        <v>0</v>
      </c>
      <c r="AO364" s="3">
        <f>SUM(J2:J27)</f>
        <v>719.2399999999999</v>
      </c>
      <c r="AP3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2095.0197009999997</v>
      </c>
      <c r="AQ364" s="3" cm="1">
        <f t="array" aca="1" ref="AQ364" ca="1">OFFSET(Table7[[#This Row],[Investment Increase]],0,-1)-SUM($J$2:$J$27*($E$2:$E$27=$Q$31))</f>
        <v>295.01970099999971</v>
      </c>
    </row>
    <row r="365" spans="22:43" x14ac:dyDescent="0.45">
      <c r="V365" s="9">
        <v>44221</v>
      </c>
      <c r="W365" s="3">
        <v>171.18</v>
      </c>
      <c r="X365" s="2" cm="1">
        <f t="array" ref="X365">SUM($F$2:$F$27*($C$2:$C$27=$Q$2))</f>
        <v>3.8419999999999996</v>
      </c>
      <c r="Y365" s="3">
        <f t="shared" si="30"/>
        <v>657.67355999999995</v>
      </c>
      <c r="Z365" s="3">
        <v>173.35</v>
      </c>
      <c r="AA365" s="2" cm="1">
        <f t="array" ref="AA365">SUM($F$2:$F$27*($C$2:$C$27=$Q$3))</f>
        <v>2.1331000000000002</v>
      </c>
      <c r="AB365" s="3">
        <f t="shared" si="31"/>
        <v>369.77288500000003</v>
      </c>
      <c r="AC365" s="3">
        <v>18.440000000000001</v>
      </c>
      <c r="AD365" s="2" cm="1">
        <f t="array" ref="AD365">SUM($F$2:$F$27*($C$2:$C$27=$Q$4))</f>
        <v>12.567</v>
      </c>
      <c r="AE365" s="3">
        <f t="shared" si="32"/>
        <v>231.73548000000002</v>
      </c>
      <c r="AF365" s="3">
        <v>13.8</v>
      </c>
      <c r="AG365" s="2" cm="1">
        <f t="array" ref="AG365">SUM($F$2:$F$27*($C$2:$C$27=$Q$5))</f>
        <v>8.8089999999999993</v>
      </c>
      <c r="AH365" s="3">
        <f t="shared" si="33"/>
        <v>121.5642</v>
      </c>
      <c r="AI365" s="3">
        <v>19.7</v>
      </c>
      <c r="AJ365" s="2" cm="1">
        <f t="array" ref="AJ365">SUM($F$2:$F$27*($C$2:$C$27=$Q$6))</f>
        <v>0</v>
      </c>
      <c r="AK365" s="3">
        <f t="shared" si="34"/>
        <v>0</v>
      </c>
      <c r="AL365" s="3">
        <v>14.14</v>
      </c>
      <c r="AM365" s="2" cm="1">
        <f t="array" ref="AM365">SUM($F$2:$F$27*($C$2:$C$27=$Q$8))</f>
        <v>0</v>
      </c>
      <c r="AN365" s="3">
        <f t="shared" si="35"/>
        <v>0</v>
      </c>
      <c r="AO365" s="3">
        <f>SUM(J2:J27)</f>
        <v>719.2399999999999</v>
      </c>
      <c r="AP3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2099.9861249999999</v>
      </c>
      <c r="AQ365" s="3" cm="1">
        <f t="array" aca="1" ref="AQ365" ca="1">OFFSET(Table7[[#This Row],[Investment Increase]],0,-1)-SUM($J$2:$J$27*($E$2:$E$27=$Q$31))</f>
        <v>299.9861249999999</v>
      </c>
    </row>
    <row r="366" spans="22:43" x14ac:dyDescent="0.45">
      <c r="V366" s="9">
        <v>44218</v>
      </c>
      <c r="W366" s="3">
        <v>170.01</v>
      </c>
      <c r="X366" s="2" cm="1">
        <f t="array" ref="X366">SUM($F$2:$F$27*($C$2:$C$27=$Q$2))</f>
        <v>3.8419999999999996</v>
      </c>
      <c r="Y366" s="3">
        <f t="shared" si="30"/>
        <v>653.17841999999996</v>
      </c>
      <c r="Z366" s="3">
        <v>172.88</v>
      </c>
      <c r="AA366" s="2" cm="1">
        <f t="array" ref="AA366">SUM($F$2:$F$27*($C$2:$C$27=$Q$3))</f>
        <v>2.1331000000000002</v>
      </c>
      <c r="AB366" s="3">
        <f t="shared" si="31"/>
        <v>368.77032800000001</v>
      </c>
      <c r="AC366" s="3">
        <v>18.34</v>
      </c>
      <c r="AD366" s="2" cm="1">
        <f t="array" ref="AD366">SUM($F$2:$F$27*($C$2:$C$27=$Q$4))</f>
        <v>12.567</v>
      </c>
      <c r="AE366" s="3">
        <f t="shared" si="32"/>
        <v>230.47878</v>
      </c>
      <c r="AF366" s="3">
        <v>13.75</v>
      </c>
      <c r="AG366" s="2" cm="1">
        <f t="array" ref="AG366">SUM($F$2:$F$27*($C$2:$C$27=$Q$5))</f>
        <v>8.8089999999999993</v>
      </c>
      <c r="AH366" s="3">
        <f t="shared" si="33"/>
        <v>121.12374999999999</v>
      </c>
      <c r="AI366" s="3">
        <v>19.649999999999999</v>
      </c>
      <c r="AJ366" s="2" cm="1">
        <f t="array" ref="AJ366">SUM($F$2:$F$27*($C$2:$C$27=$Q$6))</f>
        <v>0</v>
      </c>
      <c r="AK366" s="3">
        <f t="shared" si="34"/>
        <v>0</v>
      </c>
      <c r="AL366" s="3">
        <v>14.25</v>
      </c>
      <c r="AM366" s="2" cm="1">
        <f t="array" ref="AM366">SUM($F$2:$F$27*($C$2:$C$27=$Q$8))</f>
        <v>0</v>
      </c>
      <c r="AN366" s="3">
        <f t="shared" si="35"/>
        <v>0</v>
      </c>
      <c r="AO366" s="3">
        <f>SUM(J2:J27)</f>
        <v>719.2399999999999</v>
      </c>
      <c r="AP3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2092.7912779999997</v>
      </c>
      <c r="AQ366" s="3" cm="1">
        <f t="array" aca="1" ref="AQ366" ca="1">OFFSET(Table7[[#This Row],[Investment Increase]],0,-1)-SUM($J$2:$J$27*($E$2:$E$27=$Q$31))</f>
        <v>292.79127799999969</v>
      </c>
    </row>
    <row r="367" spans="22:43" x14ac:dyDescent="0.45">
      <c r="V367" s="9">
        <v>44217</v>
      </c>
      <c r="W367" s="3">
        <v>169.85</v>
      </c>
      <c r="X367" s="2" cm="1">
        <f t="array" ref="X367">SUM($F$2:$F$27*($C$2:$C$27=$Q$2))</f>
        <v>3.8419999999999996</v>
      </c>
      <c r="Y367" s="3">
        <f t="shared" si="30"/>
        <v>652.56369999999993</v>
      </c>
      <c r="Z367" s="3">
        <v>172.7</v>
      </c>
      <c r="AA367" s="2" cm="1">
        <f t="array" ref="AA367">SUM($F$2:$F$27*($C$2:$C$27=$Q$3))</f>
        <v>2.1331000000000002</v>
      </c>
      <c r="AB367" s="3">
        <f t="shared" si="31"/>
        <v>368.38637</v>
      </c>
      <c r="AC367" s="3">
        <v>18.37</v>
      </c>
      <c r="AD367" s="2" cm="1">
        <f t="array" ref="AD367">SUM($F$2:$F$27*($C$2:$C$27=$Q$4))</f>
        <v>12.567</v>
      </c>
      <c r="AE367" s="3">
        <f t="shared" si="32"/>
        <v>230.85579000000001</v>
      </c>
      <c r="AF367" s="3">
        <v>13.79</v>
      </c>
      <c r="AG367" s="2" cm="1">
        <f t="array" ref="AG367">SUM($F$2:$F$27*($C$2:$C$27=$Q$5))</f>
        <v>8.8089999999999993</v>
      </c>
      <c r="AH367" s="3">
        <f t="shared" si="33"/>
        <v>121.47610999999998</v>
      </c>
      <c r="AI367" s="3">
        <v>19.670000000000002</v>
      </c>
      <c r="AJ367" s="2" cm="1">
        <f t="array" ref="AJ367">SUM($F$2:$F$27*($C$2:$C$27=$Q$6))</f>
        <v>0</v>
      </c>
      <c r="AK367" s="3">
        <f t="shared" si="34"/>
        <v>0</v>
      </c>
      <c r="AL367" s="3">
        <v>14.41</v>
      </c>
      <c r="AM367" s="2" cm="1">
        <f t="array" ref="AM367">SUM($F$2:$F$27*($C$2:$C$27=$Q$8))</f>
        <v>0</v>
      </c>
      <c r="AN367" s="3">
        <f t="shared" si="35"/>
        <v>0</v>
      </c>
      <c r="AO367" s="3">
        <f>SUM(J2:J27)</f>
        <v>719.2399999999999</v>
      </c>
      <c r="AP3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2092.5219699999998</v>
      </c>
      <c r="AQ367" s="3" cm="1">
        <f t="array" aca="1" ref="AQ367" ca="1">OFFSET(Table7[[#This Row],[Investment Increase]],0,-1)-SUM($J$2:$J$27*($E$2:$E$27=$Q$31))</f>
        <v>292.52196999999978</v>
      </c>
    </row>
    <row r="368" spans="22:43" x14ac:dyDescent="0.45">
      <c r="V368" s="9">
        <v>44216</v>
      </c>
      <c r="W368" s="3">
        <v>168.93</v>
      </c>
      <c r="X368" s="2" cm="1">
        <f t="array" ref="X368">SUM($F$2:$F$27*($C$2:$C$27=$Q$2))</f>
        <v>3.8419999999999996</v>
      </c>
      <c r="Y368" s="3">
        <f t="shared" si="30"/>
        <v>649.02905999999996</v>
      </c>
      <c r="Z368" s="3">
        <v>171.72</v>
      </c>
      <c r="AA368" s="2" cm="1">
        <f t="array" ref="AA368">SUM($F$2:$F$27*($C$2:$C$27=$Q$3))</f>
        <v>2.1331000000000002</v>
      </c>
      <c r="AB368" s="3">
        <f t="shared" si="31"/>
        <v>366.29593200000005</v>
      </c>
      <c r="AC368" s="3">
        <v>18.25</v>
      </c>
      <c r="AD368" s="2" cm="1">
        <f t="array" ref="AD368">SUM($F$2:$F$27*($C$2:$C$27=$Q$4))</f>
        <v>12.567</v>
      </c>
      <c r="AE368" s="3">
        <f t="shared" si="32"/>
        <v>229.34774999999999</v>
      </c>
      <c r="AF368" s="3">
        <v>13.79</v>
      </c>
      <c r="AG368" s="2" cm="1">
        <f t="array" ref="AG368">SUM($F$2:$F$27*($C$2:$C$27=$Q$5))</f>
        <v>8.8089999999999993</v>
      </c>
      <c r="AH368" s="3">
        <f t="shared" si="33"/>
        <v>121.47610999999998</v>
      </c>
      <c r="AI368" s="3">
        <v>19.68</v>
      </c>
      <c r="AJ368" s="2" cm="1">
        <f t="array" ref="AJ368">SUM($F$2:$F$27*($C$2:$C$27=$Q$6))</f>
        <v>0</v>
      </c>
      <c r="AK368" s="3">
        <f t="shared" si="34"/>
        <v>0</v>
      </c>
      <c r="AL368" s="3">
        <v>14.56</v>
      </c>
      <c r="AM368" s="2" cm="1">
        <f t="array" ref="AM368">SUM($F$2:$F$27*($C$2:$C$27=$Q$8))</f>
        <v>0</v>
      </c>
      <c r="AN368" s="3">
        <f t="shared" si="35"/>
        <v>0</v>
      </c>
      <c r="AO368" s="3">
        <f>SUM(J2:J27)</f>
        <v>719.2399999999999</v>
      </c>
      <c r="AP3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2085.388852</v>
      </c>
      <c r="AQ368" s="3" cm="1">
        <f t="array" aca="1" ref="AQ368" ca="1">OFFSET(Table7[[#This Row],[Investment Increase]],0,-1)-SUM($J$2:$J$27*($E$2:$E$27=$Q$31))</f>
        <v>285.38885200000004</v>
      </c>
    </row>
    <row r="369" spans="22:43" x14ac:dyDescent="0.45">
      <c r="V369" s="9">
        <v>44215</v>
      </c>
      <c r="W369" s="3">
        <v>165.65</v>
      </c>
      <c r="X369" s="2" cm="1">
        <f t="array" ref="X369">SUM($F$2:$F$27*($C$2:$C$27=$Q$2))</f>
        <v>3.8419999999999996</v>
      </c>
      <c r="Y369" s="3">
        <f t="shared" si="30"/>
        <v>636.42729999999995</v>
      </c>
      <c r="Z369" s="3">
        <v>168.41</v>
      </c>
      <c r="AA369" s="2" cm="1">
        <f t="array" ref="AA369">SUM($F$2:$F$27*($C$2:$C$27=$Q$3))</f>
        <v>2.1331000000000002</v>
      </c>
      <c r="AB369" s="3">
        <f t="shared" si="31"/>
        <v>359.23537100000004</v>
      </c>
      <c r="AC369" s="3">
        <v>17.850000000000001</v>
      </c>
      <c r="AD369" s="2" cm="1">
        <f t="array" ref="AD369">SUM($F$2:$F$27*($C$2:$C$27=$Q$4))</f>
        <v>12.567</v>
      </c>
      <c r="AE369" s="3">
        <f t="shared" si="32"/>
        <v>224.32095000000001</v>
      </c>
      <c r="AF369" s="3">
        <v>13.6</v>
      </c>
      <c r="AG369" s="2" cm="1">
        <f t="array" ref="AG369">SUM($F$2:$F$27*($C$2:$C$27=$Q$5))</f>
        <v>8.8089999999999993</v>
      </c>
      <c r="AH369" s="3">
        <f t="shared" si="33"/>
        <v>119.80239999999999</v>
      </c>
      <c r="AI369" s="3">
        <v>19.38</v>
      </c>
      <c r="AJ369" s="2" cm="1">
        <f t="array" ref="AJ369">SUM($F$2:$F$27*($C$2:$C$27=$Q$6))</f>
        <v>0</v>
      </c>
      <c r="AK369" s="3">
        <f t="shared" si="34"/>
        <v>0</v>
      </c>
      <c r="AL369" s="3">
        <v>14.43</v>
      </c>
      <c r="AM369" s="2" cm="1">
        <f t="array" ref="AM369">SUM($F$2:$F$27*($C$2:$C$27=$Q$8))</f>
        <v>0</v>
      </c>
      <c r="AN369" s="3">
        <f t="shared" si="35"/>
        <v>0</v>
      </c>
      <c r="AO369" s="3">
        <f>SUM(J2:J27)</f>
        <v>719.2399999999999</v>
      </c>
      <c r="AP3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2059.0260210000001</v>
      </c>
      <c r="AQ369" s="3" cm="1">
        <f t="array" aca="1" ref="AQ369" ca="1">OFFSET(Table7[[#This Row],[Investment Increase]],0,-1)-SUM($J$2:$J$27*($E$2:$E$27=$Q$31))</f>
        <v>259.02602100000013</v>
      </c>
    </row>
    <row r="370" spans="22:43" x14ac:dyDescent="0.45">
      <c r="V370" s="9">
        <v>44211</v>
      </c>
      <c r="W370" s="3">
        <v>163.15</v>
      </c>
      <c r="X370" s="2" cm="1">
        <f t="array" ref="X370">SUM($F$2:$F$27*($C$2:$C$27=$Q$2))</f>
        <v>3.8419999999999996</v>
      </c>
      <c r="Y370" s="3">
        <f t="shared" si="30"/>
        <v>626.82229999999993</v>
      </c>
      <c r="Z370" s="3">
        <v>165.9</v>
      </c>
      <c r="AA370" s="2" cm="1">
        <f t="array" ref="AA370">SUM($F$2:$F$27*($C$2:$C$27=$Q$3))</f>
        <v>2.1331000000000002</v>
      </c>
      <c r="AB370" s="3">
        <f t="shared" si="31"/>
        <v>353.88129000000004</v>
      </c>
      <c r="AC370" s="3">
        <v>17.559999999999999</v>
      </c>
      <c r="AD370" s="2" cm="1">
        <f t="array" ref="AD370">SUM($F$2:$F$27*($C$2:$C$27=$Q$4))</f>
        <v>12.567</v>
      </c>
      <c r="AE370" s="3">
        <f t="shared" si="32"/>
        <v>220.67651999999998</v>
      </c>
      <c r="AF370" s="3">
        <v>13.49</v>
      </c>
      <c r="AG370" s="2" cm="1">
        <f t="array" ref="AG370">SUM($F$2:$F$27*($C$2:$C$27=$Q$5))</f>
        <v>8.8089999999999993</v>
      </c>
      <c r="AH370" s="3">
        <f t="shared" si="33"/>
        <v>118.83340999999999</v>
      </c>
      <c r="AI370" s="3">
        <v>19.22</v>
      </c>
      <c r="AJ370" s="2" cm="1">
        <f t="array" ref="AJ370">SUM($F$2:$F$27*($C$2:$C$27=$Q$6))</f>
        <v>0</v>
      </c>
      <c r="AK370" s="3">
        <f t="shared" si="34"/>
        <v>0</v>
      </c>
      <c r="AL370" s="3">
        <v>14.31</v>
      </c>
      <c r="AM370" s="2" cm="1">
        <f t="array" ref="AM370">SUM($F$2:$F$27*($C$2:$C$27=$Q$8))</f>
        <v>0</v>
      </c>
      <c r="AN370" s="3">
        <f t="shared" si="35"/>
        <v>0</v>
      </c>
      <c r="AO370" s="3">
        <f>SUM(J2:J27)</f>
        <v>719.2399999999999</v>
      </c>
      <c r="AP3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2039.45352</v>
      </c>
      <c r="AQ370" s="3" cm="1">
        <f t="array" aca="1" ref="AQ370" ca="1">OFFSET(Table7[[#This Row],[Investment Increase]],0,-1)-SUM($J$2:$J$27*($E$2:$E$27=$Q$31))</f>
        <v>239.45352000000003</v>
      </c>
    </row>
    <row r="371" spans="22:43" x14ac:dyDescent="0.45">
      <c r="V371" s="9">
        <v>44210</v>
      </c>
      <c r="W371" s="3">
        <v>164.58</v>
      </c>
      <c r="X371" s="2" cm="1">
        <f t="array" ref="X371">SUM($F$2:$F$27*($C$2:$C$27=$Q$2))</f>
        <v>3.8419999999999996</v>
      </c>
      <c r="Y371" s="3">
        <f t="shared" si="30"/>
        <v>632.31636000000003</v>
      </c>
      <c r="Z371" s="3">
        <v>167.71</v>
      </c>
      <c r="AA371" s="2" cm="1">
        <f t="array" ref="AA371">SUM($F$2:$F$27*($C$2:$C$27=$Q$3))</f>
        <v>2.1331000000000002</v>
      </c>
      <c r="AB371" s="3">
        <f t="shared" si="31"/>
        <v>357.74220100000008</v>
      </c>
      <c r="AC371" s="3">
        <v>17.670000000000002</v>
      </c>
      <c r="AD371" s="2" cm="1">
        <f t="array" ref="AD371">SUM($F$2:$F$27*($C$2:$C$27=$Q$4))</f>
        <v>12.567</v>
      </c>
      <c r="AE371" s="3">
        <f t="shared" si="32"/>
        <v>222.05889000000002</v>
      </c>
      <c r="AF371" s="3">
        <v>13.58</v>
      </c>
      <c r="AG371" s="2" cm="1">
        <f t="array" ref="AG371">SUM($F$2:$F$27*($C$2:$C$27=$Q$5))</f>
        <v>8.8089999999999993</v>
      </c>
      <c r="AH371" s="3">
        <f t="shared" si="33"/>
        <v>119.62621999999999</v>
      </c>
      <c r="AI371" s="3">
        <v>19.39</v>
      </c>
      <c r="AJ371" s="2" cm="1">
        <f t="array" ref="AJ371">SUM($F$2:$F$27*($C$2:$C$27=$Q$6))</f>
        <v>0</v>
      </c>
      <c r="AK371" s="3">
        <f t="shared" si="34"/>
        <v>0</v>
      </c>
      <c r="AL371" s="3">
        <v>14.71</v>
      </c>
      <c r="AM371" s="2" cm="1">
        <f t="array" ref="AM371">SUM($F$2:$F$27*($C$2:$C$27=$Q$8))</f>
        <v>0</v>
      </c>
      <c r="AN371" s="3">
        <f t="shared" si="35"/>
        <v>0</v>
      </c>
      <c r="AO371" s="3">
        <f>SUM(J2:J27)</f>
        <v>719.2399999999999</v>
      </c>
      <c r="AP3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2050.983671</v>
      </c>
      <c r="AQ371" s="3" cm="1">
        <f t="array" aca="1" ref="AQ371" ca="1">OFFSET(Table7[[#This Row],[Investment Increase]],0,-1)-SUM($J$2:$J$27*($E$2:$E$27=$Q$31))</f>
        <v>250.98367099999996</v>
      </c>
    </row>
    <row r="372" spans="22:43" x14ac:dyDescent="0.45">
      <c r="V372" s="9">
        <v>44209</v>
      </c>
      <c r="W372" s="3">
        <v>164.81</v>
      </c>
      <c r="X372" s="2" cm="1">
        <f t="array" ref="X372">SUM($F$2:$F$27*($C$2:$C$27=$Q$2))</f>
        <v>3.8419999999999996</v>
      </c>
      <c r="Y372" s="3">
        <f t="shared" si="30"/>
        <v>633.20001999999999</v>
      </c>
      <c r="Z372" s="3">
        <v>168.19</v>
      </c>
      <c r="AA372" s="2" cm="1">
        <f t="array" ref="AA372">SUM($F$2:$F$27*($C$2:$C$27=$Q$3))</f>
        <v>2.1331000000000002</v>
      </c>
      <c r="AB372" s="3">
        <f t="shared" si="31"/>
        <v>358.76608900000002</v>
      </c>
      <c r="AC372" s="3">
        <v>17.75</v>
      </c>
      <c r="AD372" s="2" cm="1">
        <f t="array" ref="AD372">SUM($F$2:$F$27*($C$2:$C$27=$Q$4))</f>
        <v>12.567</v>
      </c>
      <c r="AE372" s="3">
        <f t="shared" si="32"/>
        <v>223.06425000000002</v>
      </c>
      <c r="AF372" s="3">
        <v>13.64</v>
      </c>
      <c r="AG372" s="2" cm="1">
        <f t="array" ref="AG372">SUM($F$2:$F$27*($C$2:$C$27=$Q$5))</f>
        <v>8.8089999999999993</v>
      </c>
      <c r="AH372" s="3">
        <f t="shared" si="33"/>
        <v>120.15476</v>
      </c>
      <c r="AI372" s="3">
        <v>19.41</v>
      </c>
      <c r="AJ372" s="2" cm="1">
        <f t="array" ref="AJ372">SUM($F$2:$F$27*($C$2:$C$27=$Q$6))</f>
        <v>0</v>
      </c>
      <c r="AK372" s="3">
        <f t="shared" si="34"/>
        <v>0</v>
      </c>
      <c r="AL372" s="3">
        <v>14.48</v>
      </c>
      <c r="AM372" s="2" cm="1">
        <f t="array" ref="AM372">SUM($F$2:$F$27*($C$2:$C$27=$Q$8))</f>
        <v>0</v>
      </c>
      <c r="AN372" s="3">
        <f t="shared" si="35"/>
        <v>0</v>
      </c>
      <c r="AO372" s="3">
        <f>SUM(J2:J27)</f>
        <v>719.2399999999999</v>
      </c>
      <c r="AP3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2054.4251189999995</v>
      </c>
      <c r="AQ372" s="3" cm="1">
        <f t="array" aca="1" ref="AQ372" ca="1">OFFSET(Table7[[#This Row],[Investment Increase]],0,-1)-SUM($J$2:$J$27*($E$2:$E$27=$Q$31))</f>
        <v>254.42511899999954</v>
      </c>
    </row>
    <row r="373" spans="22:43" x14ac:dyDescent="0.45">
      <c r="V373" s="9">
        <v>44208</v>
      </c>
      <c r="W373" s="3">
        <v>164.11</v>
      </c>
      <c r="X373" s="2" cm="1">
        <f t="array" ref="X373">SUM($F$2:$F$27*($C$2:$C$27=$Q$2))</f>
        <v>3.8419999999999996</v>
      </c>
      <c r="Y373" s="3">
        <f t="shared" si="30"/>
        <v>630.51062000000002</v>
      </c>
      <c r="Z373" s="3">
        <v>167.51</v>
      </c>
      <c r="AA373" s="2" cm="1">
        <f t="array" ref="AA373">SUM($F$2:$F$27*($C$2:$C$27=$Q$3))</f>
        <v>2.1331000000000002</v>
      </c>
      <c r="AB373" s="3">
        <f t="shared" si="31"/>
        <v>357.31558100000001</v>
      </c>
      <c r="AC373" s="3">
        <v>17.66</v>
      </c>
      <c r="AD373" s="2" cm="1">
        <f t="array" ref="AD373">SUM($F$2:$F$27*($C$2:$C$27=$Q$4))</f>
        <v>12.567</v>
      </c>
      <c r="AE373" s="3">
        <f t="shared" si="32"/>
        <v>221.93322000000001</v>
      </c>
      <c r="AF373" s="3">
        <v>13.61</v>
      </c>
      <c r="AG373" s="2" cm="1">
        <f t="array" ref="AG373">SUM($F$2:$F$27*($C$2:$C$27=$Q$5))</f>
        <v>8.8089999999999993</v>
      </c>
      <c r="AH373" s="3">
        <f t="shared" si="33"/>
        <v>119.89048999999999</v>
      </c>
      <c r="AI373" s="3">
        <v>19.39</v>
      </c>
      <c r="AJ373" s="2" cm="1">
        <f t="array" ref="AJ373">SUM($F$2:$F$27*($C$2:$C$27=$Q$6))</f>
        <v>0</v>
      </c>
      <c r="AK373" s="3">
        <f t="shared" si="34"/>
        <v>0</v>
      </c>
      <c r="AL373" s="3">
        <v>14.6</v>
      </c>
      <c r="AM373" s="2" cm="1">
        <f t="array" ref="AM373">SUM($F$2:$F$27*($C$2:$C$27=$Q$8))</f>
        <v>0</v>
      </c>
      <c r="AN373" s="3">
        <f t="shared" si="35"/>
        <v>0</v>
      </c>
      <c r="AO373" s="3">
        <f>SUM(J2:J27)</f>
        <v>719.2399999999999</v>
      </c>
      <c r="AP3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2048.8899110000002</v>
      </c>
      <c r="AQ373" s="3" cm="1">
        <f t="array" aca="1" ref="AQ373" ca="1">OFFSET(Table7[[#This Row],[Investment Increase]],0,-1)-SUM($J$2:$J$27*($E$2:$E$27=$Q$31))</f>
        <v>248.88991100000021</v>
      </c>
    </row>
    <row r="374" spans="22:43" x14ac:dyDescent="0.45">
      <c r="V374" s="9">
        <v>44207</v>
      </c>
      <c r="W374" s="3">
        <v>163.66</v>
      </c>
      <c r="X374" s="2" cm="1">
        <f t="array" ref="X374">SUM($F$2:$F$27*($C$2:$C$27=$Q$2))</f>
        <v>3.8419999999999996</v>
      </c>
      <c r="Y374" s="3">
        <f t="shared" si="30"/>
        <v>628.78171999999995</v>
      </c>
      <c r="Z374" s="3">
        <v>166.03</v>
      </c>
      <c r="AA374" s="2" cm="1">
        <f t="array" ref="AA374">SUM($F$2:$F$27*($C$2:$C$27=$Q$3))</f>
        <v>2.1331000000000002</v>
      </c>
      <c r="AB374" s="3">
        <f t="shared" si="31"/>
        <v>354.15859300000005</v>
      </c>
      <c r="AC374" s="3">
        <v>17.649999999999999</v>
      </c>
      <c r="AD374" s="2" cm="1">
        <f t="array" ref="AD374">SUM($F$2:$F$27*($C$2:$C$27=$Q$4))</f>
        <v>12.567</v>
      </c>
      <c r="AE374" s="3">
        <f t="shared" si="32"/>
        <v>221.80754999999999</v>
      </c>
      <c r="AF374" s="3">
        <v>13.6</v>
      </c>
      <c r="AG374" s="2" cm="1">
        <f t="array" ref="AG374">SUM($F$2:$F$27*($C$2:$C$27=$Q$5))</f>
        <v>8.8089999999999993</v>
      </c>
      <c r="AH374" s="3">
        <f t="shared" si="33"/>
        <v>119.80239999999999</v>
      </c>
      <c r="AI374" s="3">
        <v>19.34</v>
      </c>
      <c r="AJ374" s="2" cm="1">
        <f t="array" ref="AJ374">SUM($F$2:$F$27*($C$2:$C$27=$Q$6))</f>
        <v>0</v>
      </c>
      <c r="AK374" s="3">
        <f t="shared" si="34"/>
        <v>0</v>
      </c>
      <c r="AL374" s="3">
        <v>14.37</v>
      </c>
      <c r="AM374" s="2" cm="1">
        <f t="array" ref="AM374">SUM($F$2:$F$27*($C$2:$C$27=$Q$8))</f>
        <v>0</v>
      </c>
      <c r="AN374" s="3">
        <f t="shared" si="35"/>
        <v>0</v>
      </c>
      <c r="AO374" s="3">
        <f>SUM(J2:J27)</f>
        <v>719.2399999999999</v>
      </c>
      <c r="AP3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2043.7902629999999</v>
      </c>
      <c r="AQ374" s="3" cm="1">
        <f t="array" aca="1" ref="AQ374" ca="1">OFFSET(Table7[[#This Row],[Investment Increase]],0,-1)-SUM($J$2:$J$27*($E$2:$E$27=$Q$31))</f>
        <v>243.79026299999987</v>
      </c>
    </row>
    <row r="375" spans="22:43" x14ac:dyDescent="0.45">
      <c r="V375" s="9">
        <v>44204</v>
      </c>
      <c r="W375" s="3">
        <v>165.75</v>
      </c>
      <c r="X375" s="2" cm="1">
        <f t="array" ref="X375">SUM($F$2:$F$27*($C$2:$C$27=$Q$2))</f>
        <v>3.8419999999999996</v>
      </c>
      <c r="Y375" s="3">
        <f t="shared" si="30"/>
        <v>636.81149999999991</v>
      </c>
      <c r="Z375" s="3">
        <v>167.64</v>
      </c>
      <c r="AA375" s="2" cm="1">
        <f t="array" ref="AA375">SUM($F$2:$F$27*($C$2:$C$27=$Q$3))</f>
        <v>2.1331000000000002</v>
      </c>
      <c r="AB375" s="3">
        <f t="shared" si="31"/>
        <v>357.59288400000003</v>
      </c>
      <c r="AC375" s="3">
        <v>17.899999999999999</v>
      </c>
      <c r="AD375" s="2" cm="1">
        <f t="array" ref="AD375">SUM($F$2:$F$27*($C$2:$C$27=$Q$4))</f>
        <v>12.567</v>
      </c>
      <c r="AE375" s="3">
        <f t="shared" si="32"/>
        <v>224.94929999999999</v>
      </c>
      <c r="AF375" s="3">
        <v>13.69</v>
      </c>
      <c r="AG375" s="2" cm="1">
        <f t="array" ref="AG375">SUM($F$2:$F$27*($C$2:$C$27=$Q$5))</f>
        <v>8.8089999999999993</v>
      </c>
      <c r="AH375" s="3">
        <f t="shared" si="33"/>
        <v>120.59520999999998</v>
      </c>
      <c r="AI375" s="3">
        <v>19.45</v>
      </c>
      <c r="AJ375" s="2" cm="1">
        <f t="array" ref="AJ375">SUM($F$2:$F$27*($C$2:$C$27=$Q$6))</f>
        <v>0</v>
      </c>
      <c r="AK375" s="3">
        <f t="shared" si="34"/>
        <v>0</v>
      </c>
      <c r="AL375" s="3">
        <v>14.55</v>
      </c>
      <c r="AM375" s="2" cm="1">
        <f t="array" ref="AM375">SUM($F$2:$F$27*($C$2:$C$27=$Q$8))</f>
        <v>0</v>
      </c>
      <c r="AN375" s="3">
        <f t="shared" si="35"/>
        <v>0</v>
      </c>
      <c r="AO375" s="3">
        <f>SUM(J2:J27)</f>
        <v>719.2399999999999</v>
      </c>
      <c r="AP3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2059.1888939999999</v>
      </c>
      <c r="AQ375" s="3" cm="1">
        <f t="array" aca="1" ref="AQ375" ca="1">OFFSET(Table7[[#This Row],[Investment Increase]],0,-1)-SUM($J$2:$J$27*($E$2:$E$27=$Q$31))</f>
        <v>259.18889399999989</v>
      </c>
    </row>
    <row r="376" spans="22:43" x14ac:dyDescent="0.45">
      <c r="V376" s="9">
        <v>44203</v>
      </c>
      <c r="W376" s="3">
        <v>164.05</v>
      </c>
      <c r="X376" s="2" cm="1">
        <f t="array" ref="X376">SUM($F$2:$F$27*($C$2:$C$27=$Q$2))</f>
        <v>3.8419999999999996</v>
      </c>
      <c r="Y376" s="3">
        <f t="shared" si="30"/>
        <v>630.28009999999995</v>
      </c>
      <c r="Z376" s="3">
        <v>166.25</v>
      </c>
      <c r="AA376" s="2" cm="1">
        <f t="array" ref="AA376">SUM($F$2:$F$27*($C$2:$C$27=$Q$3))</f>
        <v>2.1331000000000002</v>
      </c>
      <c r="AB376" s="3">
        <f t="shared" si="31"/>
        <v>354.62787500000002</v>
      </c>
      <c r="AC376" s="3">
        <v>17.73</v>
      </c>
      <c r="AD376" s="2" cm="1">
        <f t="array" ref="AD376">SUM($F$2:$F$27*($C$2:$C$27=$Q$4))</f>
        <v>12.567</v>
      </c>
      <c r="AE376" s="3">
        <f t="shared" si="32"/>
        <v>222.81291000000002</v>
      </c>
      <c r="AF376" s="3">
        <v>13.61</v>
      </c>
      <c r="AG376" s="2" cm="1">
        <f t="array" ref="AG376">SUM($F$2:$F$27*($C$2:$C$27=$Q$5))</f>
        <v>8.8089999999999993</v>
      </c>
      <c r="AH376" s="3">
        <f t="shared" si="33"/>
        <v>119.89048999999999</v>
      </c>
      <c r="AI376" s="3">
        <v>19.38</v>
      </c>
      <c r="AJ376" s="2" cm="1">
        <f t="array" ref="AJ376">SUM($F$2:$F$27*($C$2:$C$27=$Q$6))</f>
        <v>0</v>
      </c>
      <c r="AK376" s="3">
        <f t="shared" si="34"/>
        <v>0</v>
      </c>
      <c r="AL376" s="3">
        <v>14.6</v>
      </c>
      <c r="AM376" s="2" cm="1">
        <f t="array" ref="AM376">SUM($F$2:$F$27*($C$2:$C$27=$Q$8))</f>
        <v>0</v>
      </c>
      <c r="AN376" s="3">
        <f t="shared" si="35"/>
        <v>0</v>
      </c>
      <c r="AO376" s="3">
        <f>SUM(J2:J27)</f>
        <v>719.2399999999999</v>
      </c>
      <c r="AP3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2046.8513749999997</v>
      </c>
      <c r="AQ376" s="3" cm="1">
        <f t="array" aca="1" ref="AQ376" ca="1">OFFSET(Table7[[#This Row],[Investment Increase]],0,-1)-SUM($J$2:$J$27*($E$2:$E$27=$Q$31))</f>
        <v>246.85137499999973</v>
      </c>
    </row>
    <row r="377" spans="22:43" x14ac:dyDescent="0.45">
      <c r="V377" s="9">
        <v>44202</v>
      </c>
      <c r="W377" s="3">
        <v>159.94999999999999</v>
      </c>
      <c r="X377" s="2" cm="1">
        <f t="array" ref="X377">SUM($F$2:$F$27*($C$2:$C$27=$Q$2))</f>
        <v>3.8419999999999996</v>
      </c>
      <c r="Y377" s="3">
        <f t="shared" si="30"/>
        <v>614.52789999999993</v>
      </c>
      <c r="Z377" s="3">
        <v>161.54</v>
      </c>
      <c r="AA377" s="2" cm="1">
        <f t="array" ref="AA377">SUM($F$2:$F$27*($C$2:$C$27=$Q$3))</f>
        <v>2.1331000000000002</v>
      </c>
      <c r="AB377" s="3">
        <f t="shared" si="31"/>
        <v>344.58097400000003</v>
      </c>
      <c r="AC377" s="3">
        <v>17.29</v>
      </c>
      <c r="AD377" s="2" cm="1">
        <f t="array" ref="AD377">SUM($F$2:$F$27*($C$2:$C$27=$Q$4))</f>
        <v>12.567</v>
      </c>
      <c r="AE377" s="3">
        <f t="shared" si="32"/>
        <v>217.28342999999998</v>
      </c>
      <c r="AF377" s="3">
        <v>13.4</v>
      </c>
      <c r="AG377" s="2" cm="1">
        <f t="array" ref="AG377">SUM($F$2:$F$27*($C$2:$C$27=$Q$5))</f>
        <v>8.8089999999999993</v>
      </c>
      <c r="AH377" s="3">
        <f t="shared" si="33"/>
        <v>118.0406</v>
      </c>
      <c r="AI377" s="3">
        <v>19.05</v>
      </c>
      <c r="AJ377" s="2" cm="1">
        <f t="array" ref="AJ377">SUM($F$2:$F$27*($C$2:$C$27=$Q$6))</f>
        <v>0</v>
      </c>
      <c r="AK377" s="3">
        <f t="shared" si="34"/>
        <v>0</v>
      </c>
      <c r="AL377" s="3">
        <v>14.38</v>
      </c>
      <c r="AM377" s="2" cm="1">
        <f t="array" ref="AM377">SUM($F$2:$F$27*($C$2:$C$27=$Q$8))</f>
        <v>0</v>
      </c>
      <c r="AN377" s="3">
        <f t="shared" si="35"/>
        <v>0</v>
      </c>
      <c r="AO377" s="3">
        <f>SUM(J2:J27)</f>
        <v>719.2399999999999</v>
      </c>
      <c r="AP3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2013.672904</v>
      </c>
      <c r="AQ377" s="3" cm="1">
        <f t="array" aca="1" ref="AQ377" ca="1">OFFSET(Table7[[#This Row],[Investment Increase]],0,-1)-SUM($J$2:$J$27*($E$2:$E$27=$Q$31))</f>
        <v>213.67290400000002</v>
      </c>
    </row>
    <row r="378" spans="22:43" x14ac:dyDescent="0.45">
      <c r="V378" s="9">
        <v>44201</v>
      </c>
      <c r="W378" s="3">
        <v>160.94</v>
      </c>
      <c r="X378" s="2" cm="1">
        <f t="array" ref="X378">SUM($F$2:$F$27*($C$2:$C$27=$Q$2))</f>
        <v>3.8419999999999996</v>
      </c>
      <c r="Y378" s="3">
        <f t="shared" si="30"/>
        <v>618.33147999999994</v>
      </c>
      <c r="Z378" s="3">
        <v>163.13999999999999</v>
      </c>
      <c r="AA378" s="2" cm="1">
        <f t="array" ref="AA378">SUM($F$2:$F$27*($C$2:$C$27=$Q$3))</f>
        <v>2.1331000000000002</v>
      </c>
      <c r="AB378" s="3">
        <f t="shared" si="31"/>
        <v>347.99393400000002</v>
      </c>
      <c r="AC378" s="3">
        <v>17.48</v>
      </c>
      <c r="AD378" s="2" cm="1">
        <f t="array" ref="AD378">SUM($F$2:$F$27*($C$2:$C$27=$Q$4))</f>
        <v>12.567</v>
      </c>
      <c r="AE378" s="3">
        <f t="shared" si="32"/>
        <v>219.67116000000001</v>
      </c>
      <c r="AF378" s="3">
        <v>13.34</v>
      </c>
      <c r="AG378" s="2" cm="1">
        <f t="array" ref="AG378">SUM($F$2:$F$27*($C$2:$C$27=$Q$5))</f>
        <v>8.8089999999999993</v>
      </c>
      <c r="AH378" s="3">
        <f t="shared" si="33"/>
        <v>117.51205999999999</v>
      </c>
      <c r="AI378" s="3">
        <v>18.899999999999999</v>
      </c>
      <c r="AJ378" s="2" cm="1">
        <f t="array" ref="AJ378">SUM($F$2:$F$27*($C$2:$C$27=$Q$6))</f>
        <v>0</v>
      </c>
      <c r="AK378" s="3">
        <f t="shared" si="34"/>
        <v>0</v>
      </c>
      <c r="AL378" s="3">
        <v>13.92</v>
      </c>
      <c r="AM378" s="2" cm="1">
        <f t="array" ref="AM378">SUM($F$2:$F$27*($C$2:$C$27=$Q$8))</f>
        <v>0</v>
      </c>
      <c r="AN378" s="3">
        <f t="shared" si="35"/>
        <v>0</v>
      </c>
      <c r="AO378" s="3">
        <f>SUM(J2:J27)</f>
        <v>719.2399999999999</v>
      </c>
      <c r="AP3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2022.748634</v>
      </c>
      <c r="AQ378" s="3" cm="1">
        <f t="array" aca="1" ref="AQ378" ca="1">OFFSET(Table7[[#This Row],[Investment Increase]],0,-1)-SUM($J$2:$J$27*($E$2:$E$27=$Q$31))</f>
        <v>222.74863400000004</v>
      </c>
    </row>
    <row r="379" spans="22:43" x14ac:dyDescent="0.45">
      <c r="V379" s="9">
        <v>44200</v>
      </c>
      <c r="W379" s="3">
        <v>159.41999999999999</v>
      </c>
      <c r="X379" s="2" cm="1">
        <f t="array" ref="X379">SUM($F$2:$F$27*($C$2:$C$27=$Q$2))</f>
        <v>3.8419999999999996</v>
      </c>
      <c r="Y379" s="3">
        <f t="shared" si="30"/>
        <v>612.49163999999985</v>
      </c>
      <c r="Z379" s="3">
        <v>160.38999999999999</v>
      </c>
      <c r="AA379" s="2" cm="1">
        <f t="array" ref="AA379">SUM($F$2:$F$27*($C$2:$C$27=$Q$3))</f>
        <v>2.1331000000000002</v>
      </c>
      <c r="AB379" s="3">
        <f t="shared" si="31"/>
        <v>342.12790899999999</v>
      </c>
      <c r="AC379" s="3">
        <v>17.28</v>
      </c>
      <c r="AD379" s="2" cm="1">
        <f t="array" ref="AD379">SUM($F$2:$F$27*($C$2:$C$27=$Q$4))</f>
        <v>12.567</v>
      </c>
      <c r="AE379" s="3">
        <f t="shared" si="32"/>
        <v>217.15776000000002</v>
      </c>
      <c r="AF379" s="3">
        <v>13.25</v>
      </c>
      <c r="AG379" s="2" cm="1">
        <f t="array" ref="AG379">SUM($F$2:$F$27*($C$2:$C$27=$Q$5))</f>
        <v>8.8089999999999993</v>
      </c>
      <c r="AH379" s="3">
        <f t="shared" si="33"/>
        <v>116.71924999999999</v>
      </c>
      <c r="AI379" s="3">
        <v>18.71</v>
      </c>
      <c r="AJ379" s="2" cm="1">
        <f t="array" ref="AJ379">SUM($F$2:$F$27*($C$2:$C$27=$Q$6))</f>
        <v>0</v>
      </c>
      <c r="AK379" s="3">
        <f t="shared" si="34"/>
        <v>0</v>
      </c>
      <c r="AL379" s="3">
        <v>13.61</v>
      </c>
      <c r="AM379" s="2" cm="1">
        <f t="array" ref="AM379">SUM($F$2:$F$27*($C$2:$C$27=$Q$8))</f>
        <v>0</v>
      </c>
      <c r="AN379" s="3">
        <f t="shared" si="35"/>
        <v>0</v>
      </c>
      <c r="AO379" s="3">
        <f>SUM(J2:J27)</f>
        <v>719.2399999999999</v>
      </c>
      <c r="AP3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2007.7365589999995</v>
      </c>
      <c r="AQ379" s="3" cm="1">
        <f t="array" aca="1" ref="AQ379" ca="1">OFFSET(Table7[[#This Row],[Investment Increase]],0,-1)-SUM($J$2:$J$27*($E$2:$E$27=$Q$31))</f>
        <v>207.73655899999949</v>
      </c>
    </row>
    <row r="380" spans="22:43" x14ac:dyDescent="0.45">
      <c r="V380" s="9">
        <v>44196</v>
      </c>
      <c r="W380" s="3">
        <v>161.79</v>
      </c>
      <c r="X380" s="2" cm="1">
        <f t="array" ref="X380">SUM($F$2:$F$27*($C$2:$C$27=$Q$2))</f>
        <v>3.8419999999999996</v>
      </c>
      <c r="Y380" s="3">
        <f t="shared" si="30"/>
        <v>621.59717999999987</v>
      </c>
      <c r="Z380" s="3">
        <v>163.08000000000001</v>
      </c>
      <c r="AA380" s="2" cm="1">
        <f t="array" ref="AA380">SUM($F$2:$F$27*($C$2:$C$27=$Q$3))</f>
        <v>2.1331000000000002</v>
      </c>
      <c r="AB380" s="3">
        <f t="shared" si="31"/>
        <v>347.86594800000006</v>
      </c>
      <c r="AC380" s="3">
        <v>17.52</v>
      </c>
      <c r="AD380" s="2" cm="1">
        <f t="array" ref="AD380">SUM($F$2:$F$27*($C$2:$C$27=$Q$4))</f>
        <v>12.567</v>
      </c>
      <c r="AE380" s="3">
        <f t="shared" si="32"/>
        <v>220.17383999999998</v>
      </c>
      <c r="AF380" s="3">
        <v>13.45</v>
      </c>
      <c r="AG380" s="2" cm="1">
        <f t="array" ref="AG380">SUM($F$2:$F$27*($C$2:$C$27=$Q$5))</f>
        <v>8.8089999999999993</v>
      </c>
      <c r="AH380" s="3">
        <f t="shared" si="33"/>
        <v>118.48104999999998</v>
      </c>
      <c r="AI380" s="3">
        <v>18.989999999999998</v>
      </c>
      <c r="AJ380" s="2" cm="1">
        <f t="array" ref="AJ380">SUM($F$2:$F$27*($C$2:$C$27=$Q$6))</f>
        <v>0</v>
      </c>
      <c r="AK380" s="3">
        <f t="shared" si="34"/>
        <v>0</v>
      </c>
      <c r="AL380" s="3">
        <v>13.34</v>
      </c>
      <c r="AM380" s="2" cm="1">
        <f t="array" ref="AM380">SUM($F$2:$F$27*($C$2:$C$27=$Q$8))</f>
        <v>0</v>
      </c>
      <c r="AN380" s="3">
        <f t="shared" si="35"/>
        <v>0</v>
      </c>
      <c r="AO380" s="3">
        <f>SUM(J2:J27)</f>
        <v>719.2399999999999</v>
      </c>
      <c r="AP3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2027.3580179999994</v>
      </c>
      <c r="AQ380" s="3" cm="1">
        <f t="array" aca="1" ref="AQ380" ca="1">OFFSET(Table7[[#This Row],[Investment Increase]],0,-1)-SUM($J$2:$J$27*($E$2:$E$27=$Q$31))</f>
        <v>227.35801799999945</v>
      </c>
    </row>
    <row r="381" spans="22:43" x14ac:dyDescent="0.45">
      <c r="V381" s="9">
        <v>44195</v>
      </c>
      <c r="W381" s="3">
        <v>161.55000000000001</v>
      </c>
      <c r="X381" s="2" cm="1">
        <f t="array" ref="X381">SUM($F$2:$F$27*($C$2:$C$27=$Q$2))</f>
        <v>3.8419999999999996</v>
      </c>
      <c r="Y381" s="3">
        <f t="shared" si="30"/>
        <v>620.67509999999993</v>
      </c>
      <c r="Z381" s="3">
        <v>163.75</v>
      </c>
      <c r="AA381" s="2" cm="1">
        <f t="array" ref="AA381">SUM($F$2:$F$27*($C$2:$C$27=$Q$3))</f>
        <v>2.1331000000000002</v>
      </c>
      <c r="AB381" s="3">
        <f t="shared" si="31"/>
        <v>349.29512500000004</v>
      </c>
      <c r="AC381" s="3">
        <v>17.510000000000002</v>
      </c>
      <c r="AD381" s="2" cm="1">
        <f t="array" ref="AD381">SUM($F$2:$F$27*($C$2:$C$27=$Q$4))</f>
        <v>12.567</v>
      </c>
      <c r="AE381" s="3">
        <f t="shared" si="32"/>
        <v>220.04817000000003</v>
      </c>
      <c r="AF381" s="3">
        <v>13.36</v>
      </c>
      <c r="AG381" s="2" cm="1">
        <f t="array" ref="AG381">SUM($F$2:$F$27*($C$2:$C$27=$Q$5))</f>
        <v>8.8089999999999993</v>
      </c>
      <c r="AH381" s="3">
        <f t="shared" si="33"/>
        <v>117.68823999999998</v>
      </c>
      <c r="AI381" s="3">
        <v>18.89</v>
      </c>
      <c r="AJ381" s="2" cm="1">
        <f t="array" ref="AJ381">SUM($F$2:$F$27*($C$2:$C$27=$Q$6))</f>
        <v>0</v>
      </c>
      <c r="AK381" s="3">
        <f t="shared" si="34"/>
        <v>0</v>
      </c>
      <c r="AL381" s="3">
        <v>13.42</v>
      </c>
      <c r="AM381" s="2" cm="1">
        <f t="array" ref="AM381">SUM($F$2:$F$27*($C$2:$C$27=$Q$8))</f>
        <v>0</v>
      </c>
      <c r="AN381" s="3">
        <f t="shared" si="35"/>
        <v>0</v>
      </c>
      <c r="AO381" s="3">
        <f>SUM(J2:J27)</f>
        <v>719.2399999999999</v>
      </c>
      <c r="AP3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2026.9466349999998</v>
      </c>
      <c r="AQ381" s="3" cm="1">
        <f t="array" aca="1" ref="AQ381" ca="1">OFFSET(Table7[[#This Row],[Investment Increase]],0,-1)-SUM($J$2:$J$27*($E$2:$E$27=$Q$31))</f>
        <v>226.94663499999979</v>
      </c>
    </row>
    <row r="382" spans="22:43" x14ac:dyDescent="0.45">
      <c r="V382" s="9">
        <v>44194</v>
      </c>
      <c r="W382" s="3">
        <v>161.30000000000001</v>
      </c>
      <c r="X382" s="2" cm="1">
        <f t="array" ref="X382">SUM($F$2:$F$27*($C$2:$C$27=$Q$2))</f>
        <v>3.8419999999999996</v>
      </c>
      <c r="Y382" s="3">
        <f t="shared" si="30"/>
        <v>619.71460000000002</v>
      </c>
      <c r="Z382" s="3">
        <v>163.08000000000001</v>
      </c>
      <c r="AA382" s="2" cm="1">
        <f t="array" ref="AA382">SUM($F$2:$F$27*($C$2:$C$27=$Q$3))</f>
        <v>2.1331000000000002</v>
      </c>
      <c r="AB382" s="3">
        <f t="shared" si="31"/>
        <v>347.86594800000006</v>
      </c>
      <c r="AC382" s="3">
        <v>17.47</v>
      </c>
      <c r="AD382" s="2" cm="1">
        <f t="array" ref="AD382">SUM($F$2:$F$27*($C$2:$C$27=$Q$4))</f>
        <v>12.567</v>
      </c>
      <c r="AE382" s="3">
        <f t="shared" si="32"/>
        <v>219.54549</v>
      </c>
      <c r="AF382" s="3">
        <v>13.35</v>
      </c>
      <c r="AG382" s="2" cm="1">
        <f t="array" ref="AG382">SUM($F$2:$F$27*($C$2:$C$27=$Q$5))</f>
        <v>8.8089999999999993</v>
      </c>
      <c r="AH382" s="3">
        <f t="shared" si="33"/>
        <v>117.60014999999999</v>
      </c>
      <c r="AI382" s="3">
        <v>18.86</v>
      </c>
      <c r="AJ382" s="2" cm="1">
        <f t="array" ref="AJ382">SUM($F$2:$F$27*($C$2:$C$27=$Q$6))</f>
        <v>0</v>
      </c>
      <c r="AK382" s="3">
        <f t="shared" si="34"/>
        <v>0</v>
      </c>
      <c r="AL382" s="3">
        <v>13.24</v>
      </c>
      <c r="AM382" s="2" cm="1">
        <f t="array" ref="AM382">SUM($F$2:$F$27*($C$2:$C$27=$Q$8))</f>
        <v>0</v>
      </c>
      <c r="AN382" s="3">
        <f t="shared" si="35"/>
        <v>0</v>
      </c>
      <c r="AO382" s="3">
        <f>SUM(J2:J27)</f>
        <v>719.2399999999999</v>
      </c>
      <c r="AP3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2023.9661879999999</v>
      </c>
      <c r="AQ382" s="3" cm="1">
        <f t="array" aca="1" ref="AQ382" ca="1">OFFSET(Table7[[#This Row],[Investment Increase]],0,-1)-SUM($J$2:$J$27*($E$2:$E$27=$Q$31))</f>
        <v>223.96618799999987</v>
      </c>
    </row>
    <row r="383" spans="22:43" x14ac:dyDescent="0.45">
      <c r="V383" s="9">
        <v>44193</v>
      </c>
      <c r="W383" s="3">
        <v>163</v>
      </c>
      <c r="X383" s="2" cm="1">
        <f t="array" ref="X383">SUM($F$2:$F$25*($C$2:$C$25=$Q$2))</f>
        <v>3.8</v>
      </c>
      <c r="Y383" s="3">
        <f t="shared" si="30"/>
        <v>619.4</v>
      </c>
      <c r="Z383" s="3">
        <v>163.68</v>
      </c>
      <c r="AA383" s="2" cm="1">
        <f t="array" ref="AA383">SUM($F$2:$F$25*($C$2:$C$25=$Q$3))</f>
        <v>2.1331000000000002</v>
      </c>
      <c r="AB383" s="3">
        <f t="shared" si="31"/>
        <v>349.14580800000005</v>
      </c>
      <c r="AC383" s="3">
        <v>17.510000000000002</v>
      </c>
      <c r="AD383" s="2" cm="1">
        <f t="array" ref="AD383">SUM($F$2:$F$25*($C$2:$C$25=$Q$4))</f>
        <v>12.567</v>
      </c>
      <c r="AE383" s="3">
        <f t="shared" si="32"/>
        <v>220.04817000000003</v>
      </c>
      <c r="AF383" s="3">
        <v>13.38</v>
      </c>
      <c r="AG383" s="2" cm="1">
        <f t="array" ref="AG383">SUM($F$2:$F$25*($C$2:$C$25=$Q$5))</f>
        <v>8.8089999999999993</v>
      </c>
      <c r="AH383" s="3">
        <f t="shared" si="33"/>
        <v>117.86442</v>
      </c>
      <c r="AI383" s="3">
        <v>18.920000000000002</v>
      </c>
      <c r="AJ383" s="2" cm="1">
        <f t="array" ref="AJ383">SUM($F$2:$F$25*($C$2:$C$25=$Q$6))</f>
        <v>0</v>
      </c>
      <c r="AK383" s="3">
        <f t="shared" si="34"/>
        <v>0</v>
      </c>
      <c r="AL383" s="3">
        <v>13.25</v>
      </c>
      <c r="AM383" s="2" cm="1">
        <f t="array" ref="AM383">SUM($F$2:$F$25*($C$2:$C$25=$Q$8))</f>
        <v>0</v>
      </c>
      <c r="AN383" s="3">
        <f t="shared" si="35"/>
        <v>0</v>
      </c>
      <c r="AO383" s="3">
        <f>SUM(J2:J25)</f>
        <v>719.2399999999999</v>
      </c>
      <c r="AP3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2025.698398</v>
      </c>
      <c r="AQ383" s="3" cm="1">
        <f t="array" aca="1" ref="AQ383" ca="1">OFFSET(Table7[[#This Row],[Investment Increase]],0,-1)-SUM($J$2:$J$25*($E$2:$E$25=$Q$31))</f>
        <v>225.698398</v>
      </c>
    </row>
    <row r="384" spans="22:43" x14ac:dyDescent="0.45">
      <c r="V384" s="9">
        <v>44189</v>
      </c>
      <c r="W384" s="3">
        <v>161.78</v>
      </c>
      <c r="X384" s="2" cm="1">
        <f t="array" ref="X384">SUM($F$2:$F$25*($C$2:$C$25=$Q$2))</f>
        <v>3.8</v>
      </c>
      <c r="Y384" s="3">
        <f t="shared" si="30"/>
        <v>614.76400000000001</v>
      </c>
      <c r="Z384" s="3">
        <v>163.46</v>
      </c>
      <c r="AA384" s="2" cm="1">
        <f t="array" ref="AA384">SUM($F$2:$F$25*($C$2:$C$25=$Q$3))</f>
        <v>2.1331000000000002</v>
      </c>
      <c r="AB384" s="3">
        <f t="shared" si="31"/>
        <v>348.67652600000008</v>
      </c>
      <c r="AC384" s="3">
        <v>17.32</v>
      </c>
      <c r="AD384" s="2" cm="1">
        <f t="array" ref="AD384">SUM($F$2:$F$25*($C$2:$C$25=$Q$4))</f>
        <v>12.567</v>
      </c>
      <c r="AE384" s="3">
        <f t="shared" si="32"/>
        <v>217.66043999999999</v>
      </c>
      <c r="AF384" s="3">
        <v>13.27</v>
      </c>
      <c r="AG384" s="2" cm="1">
        <f t="array" ref="AG384">SUM($F$2:$F$25*($C$2:$C$25=$Q$5))</f>
        <v>8.8089999999999993</v>
      </c>
      <c r="AH384" s="3">
        <f t="shared" si="33"/>
        <v>116.89542999999999</v>
      </c>
      <c r="AI384" s="3">
        <v>18.760000000000002</v>
      </c>
      <c r="AJ384" s="2" cm="1">
        <f t="array" ref="AJ384">SUM($F$2:$F$25*($C$2:$C$25=$Q$6))</f>
        <v>0</v>
      </c>
      <c r="AK384" s="3">
        <f t="shared" si="34"/>
        <v>0</v>
      </c>
      <c r="AL384" s="3">
        <v>13.27</v>
      </c>
      <c r="AM384" s="2" cm="1">
        <f t="array" ref="AM384">SUM($F$2:$F$25*($C$2:$C$25=$Q$8))</f>
        <v>0</v>
      </c>
      <c r="AN384" s="3">
        <f t="shared" si="35"/>
        <v>0</v>
      </c>
      <c r="AO384" s="3">
        <f>SUM(J2:J25)</f>
        <v>719.2399999999999</v>
      </c>
      <c r="AP3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2017.2363959999998</v>
      </c>
      <c r="AQ384" s="3" cm="1">
        <f t="array" aca="1" ref="AQ384" ca="1">OFFSET(Table7[[#This Row],[Investment Increase]],0,-1)-SUM($J$2:$J$25*($E$2:$E$25=$Q$31))</f>
        <v>217.23639599999979</v>
      </c>
    </row>
    <row r="385" spans="22:43" x14ac:dyDescent="0.45">
      <c r="V385" s="9">
        <v>44188</v>
      </c>
      <c r="W385" s="3">
        <v>161.33000000000001</v>
      </c>
      <c r="X385" s="2" cm="1">
        <f t="array" ref="X385">SUM($F$2:$F$25*($C$2:$C$25=$Q$2))</f>
        <v>3.8</v>
      </c>
      <c r="Y385" s="3">
        <f t="shared" si="30"/>
        <v>613.05399999999997</v>
      </c>
      <c r="Z385" s="3">
        <v>163.38999999999999</v>
      </c>
      <c r="AA385" s="2" cm="1">
        <f t="array" ref="AA385">SUM($F$2:$F$25*($C$2:$C$25=$Q$3))</f>
        <v>2.1331000000000002</v>
      </c>
      <c r="AB385" s="3">
        <f t="shared" si="31"/>
        <v>348.52720900000003</v>
      </c>
      <c r="AC385" s="3">
        <v>17.29</v>
      </c>
      <c r="AD385" s="2" cm="1">
        <f t="array" ref="AD385">SUM($F$2:$F$25*($C$2:$C$25=$Q$4))</f>
        <v>12.567</v>
      </c>
      <c r="AE385" s="3">
        <f t="shared" si="32"/>
        <v>217.28342999999998</v>
      </c>
      <c r="AF385" s="3">
        <v>13.22</v>
      </c>
      <c r="AG385" s="2" cm="1">
        <f t="array" ref="AG385">SUM($F$2:$F$25*($C$2:$C$25=$Q$5))</f>
        <v>8.8089999999999993</v>
      </c>
      <c r="AH385" s="3">
        <f t="shared" si="33"/>
        <v>116.45497999999999</v>
      </c>
      <c r="AI385" s="3">
        <v>18.7</v>
      </c>
      <c r="AJ385" s="2" cm="1">
        <f t="array" ref="AJ385">SUM($F$2:$F$25*($C$2:$C$25=$Q$6))</f>
        <v>0</v>
      </c>
      <c r="AK385" s="3">
        <f t="shared" si="34"/>
        <v>0</v>
      </c>
      <c r="AL385" s="3">
        <v>13.25</v>
      </c>
      <c r="AM385" s="2" cm="1">
        <f t="array" ref="AM385">SUM($F$2:$F$25*($C$2:$C$25=$Q$8))</f>
        <v>0</v>
      </c>
      <c r="AN385" s="3">
        <f t="shared" si="35"/>
        <v>0</v>
      </c>
      <c r="AO385" s="3">
        <f>SUM(J2:J25)</f>
        <v>719.2399999999999</v>
      </c>
      <c r="AP3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2014.5596189999997</v>
      </c>
      <c r="AQ385" s="3" cm="1">
        <f t="array" aca="1" ref="AQ385" ca="1">OFFSET(Table7[[#This Row],[Investment Increase]],0,-1)-SUM($J$2:$J$25*($E$2:$E$25=$Q$31))</f>
        <v>214.55961899999966</v>
      </c>
    </row>
    <row r="386" spans="22:43" x14ac:dyDescent="0.45">
      <c r="V386" s="9">
        <v>44187</v>
      </c>
      <c r="W386" s="3">
        <v>161.80000000000001</v>
      </c>
      <c r="X386" s="2" cm="1">
        <f t="array" ref="X386">SUM($F$2:$F$25*($C$2:$C$25=$Q$2))</f>
        <v>3.8</v>
      </c>
      <c r="Y386" s="3">
        <f t="shared" ref="Y386:Y449" si="36">PRODUCT(W386,X386)</f>
        <v>614.84</v>
      </c>
      <c r="Z386" s="3">
        <v>164.6</v>
      </c>
      <c r="AA386" s="2" cm="1">
        <f t="array" ref="AA386">SUM($F$2:$F$25*($C$2:$C$25=$Q$3))</f>
        <v>2.1331000000000002</v>
      </c>
      <c r="AB386" s="3">
        <f t="shared" ref="AB386:AB449" si="37">PRODUCT(Z386,AA386)</f>
        <v>351.10826000000003</v>
      </c>
      <c r="AC386" s="3">
        <v>17.329999999999998</v>
      </c>
      <c r="AD386" s="2" cm="1">
        <f t="array" ref="AD386">SUM($F$2:$F$25*($C$2:$C$25=$Q$4))</f>
        <v>12.567</v>
      </c>
      <c r="AE386" s="3">
        <f t="shared" ref="AE386:AE449" si="38">PRODUCT(AC386,AD386)</f>
        <v>217.78610999999998</v>
      </c>
      <c r="AF386" s="3">
        <v>13.22</v>
      </c>
      <c r="AG386" s="2" cm="1">
        <f t="array" ref="AG386">SUM($F$2:$F$25*($C$2:$C$25=$Q$5))</f>
        <v>8.8089999999999993</v>
      </c>
      <c r="AH386" s="3">
        <f t="shared" ref="AH386:AH449" si="39">PRODUCT(AF386,AG386)</f>
        <v>116.45497999999999</v>
      </c>
      <c r="AI386" s="3">
        <v>18.66</v>
      </c>
      <c r="AJ386" s="2" cm="1">
        <f t="array" ref="AJ386">SUM($F$2:$F$25*($C$2:$C$25=$Q$6))</f>
        <v>0</v>
      </c>
      <c r="AK386" s="3">
        <f t="shared" ref="AK386:AK449" si="40">PRODUCT(AI386,AJ386)</f>
        <v>0</v>
      </c>
      <c r="AL386" s="3">
        <v>13.04</v>
      </c>
      <c r="AM386" s="2" cm="1">
        <f t="array" ref="AM386">SUM($F$2:$F$25*($C$2:$C$25=$Q$8))</f>
        <v>0</v>
      </c>
      <c r="AN386" s="3">
        <f t="shared" ref="AN386:AN449" si="41">PRODUCT(AL386,AM386)</f>
        <v>0</v>
      </c>
      <c r="AO386" s="3">
        <f>SUM(J2:J25)</f>
        <v>719.2399999999999</v>
      </c>
      <c r="AP3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2019.4293499999999</v>
      </c>
      <c r="AQ386" s="3" cm="1">
        <f t="array" aca="1" ref="AQ386" ca="1">OFFSET(Table7[[#This Row],[Investment Increase]],0,-1)-SUM($J$2:$J$25*($E$2:$E$25=$Q$31))</f>
        <v>219.42934999999989</v>
      </c>
    </row>
    <row r="387" spans="22:43" x14ac:dyDescent="0.45">
      <c r="V387" s="9">
        <v>44186</v>
      </c>
      <c r="W387" s="3">
        <v>160.97</v>
      </c>
      <c r="X387" s="2" cm="1">
        <f t="array" ref="X387">SUM($F$2:$F$25*($C$2:$C$25=$Q$2))</f>
        <v>3.8</v>
      </c>
      <c r="Y387" s="3">
        <f t="shared" si="36"/>
        <v>611.68599999999992</v>
      </c>
      <c r="Z387" s="3">
        <v>162.94</v>
      </c>
      <c r="AA387" s="2" cm="1">
        <f t="array" ref="AA387">SUM($F$2:$F$25*($C$2:$C$25=$Q$3))</f>
        <v>2.1331000000000002</v>
      </c>
      <c r="AB387" s="3">
        <f t="shared" si="37"/>
        <v>347.56731400000001</v>
      </c>
      <c r="AC387" s="3">
        <v>17.260000000000002</v>
      </c>
      <c r="AD387" s="2" cm="1">
        <f t="array" ref="AD387">SUM($F$2:$F$25*($C$2:$C$25=$Q$4))</f>
        <v>12.567</v>
      </c>
      <c r="AE387" s="3">
        <f t="shared" si="38"/>
        <v>216.90642000000003</v>
      </c>
      <c r="AF387" s="3">
        <v>13.24</v>
      </c>
      <c r="AG387" s="2" cm="1">
        <f t="array" ref="AG387">SUM($F$2:$F$25*($C$2:$C$25=$Q$5))</f>
        <v>8.8089999999999993</v>
      </c>
      <c r="AH387" s="3">
        <f t="shared" si="39"/>
        <v>116.63115999999999</v>
      </c>
      <c r="AI387" s="3">
        <v>18.71</v>
      </c>
      <c r="AJ387" s="2" cm="1">
        <f t="array" ref="AJ387">SUM($F$2:$F$25*($C$2:$C$25=$Q$6))</f>
        <v>0</v>
      </c>
      <c r="AK387" s="3">
        <f t="shared" si="40"/>
        <v>0</v>
      </c>
      <c r="AL387" s="3">
        <v>13.23</v>
      </c>
      <c r="AM387" s="2" cm="1">
        <f t="array" ref="AM387">SUM($F$2:$F$25*($C$2:$C$25=$Q$8))</f>
        <v>0</v>
      </c>
      <c r="AN387" s="3">
        <f t="shared" si="41"/>
        <v>0</v>
      </c>
      <c r="AO387" s="3">
        <f>SUM(J2:J25)</f>
        <v>719.2399999999999</v>
      </c>
      <c r="AP3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2012.0308939999995</v>
      </c>
      <c r="AQ387" s="3" cm="1">
        <f t="array" aca="1" ref="AQ387" ca="1">OFFSET(Table7[[#This Row],[Investment Increase]],0,-1)-SUM($J$2:$J$25*($E$2:$E$25=$Q$31))</f>
        <v>212.03089399999953</v>
      </c>
    </row>
    <row r="388" spans="22:43" x14ac:dyDescent="0.45">
      <c r="V388" s="9">
        <v>44183</v>
      </c>
      <c r="W388" s="3">
        <v>161.13999999999999</v>
      </c>
      <c r="X388" s="2" cm="1">
        <f t="array" ref="X388">SUM($F$2:$F$25*($C$2:$C$25=$Q$2))</f>
        <v>3.8</v>
      </c>
      <c r="Y388" s="3">
        <f t="shared" si="36"/>
        <v>612.33199999999988</v>
      </c>
      <c r="Z388" s="3">
        <v>162.59</v>
      </c>
      <c r="AA388" s="2" cm="1">
        <f t="array" ref="AA388">SUM($F$2:$F$25*($C$2:$C$25=$Q$3))</f>
        <v>2.1331000000000002</v>
      </c>
      <c r="AB388" s="3">
        <f t="shared" si="37"/>
        <v>346.82072900000003</v>
      </c>
      <c r="AC388" s="3">
        <v>17.32</v>
      </c>
      <c r="AD388" s="2" cm="1">
        <f t="array" ref="AD388">SUM($F$2:$F$25*($C$2:$C$25=$Q$4))</f>
        <v>12.567</v>
      </c>
      <c r="AE388" s="3">
        <f t="shared" si="38"/>
        <v>217.66043999999999</v>
      </c>
      <c r="AF388" s="3">
        <v>13.29</v>
      </c>
      <c r="AG388" s="2" cm="1">
        <f t="array" ref="AG388">SUM($F$2:$F$25*($C$2:$C$25=$Q$5))</f>
        <v>8.8089999999999993</v>
      </c>
      <c r="AH388" s="3">
        <f t="shared" si="39"/>
        <v>117.07160999999998</v>
      </c>
      <c r="AI388" s="3">
        <v>18.75</v>
      </c>
      <c r="AJ388" s="2" cm="1">
        <f t="array" ref="AJ388">SUM($F$2:$F$25*($C$2:$C$25=$Q$6))</f>
        <v>0</v>
      </c>
      <c r="AK388" s="3">
        <f t="shared" si="40"/>
        <v>0</v>
      </c>
      <c r="AL388" s="3">
        <v>13.35</v>
      </c>
      <c r="AM388" s="2" cm="1">
        <f t="array" ref="AM388">SUM($F$2:$F$25*($C$2:$C$25=$Q$8))</f>
        <v>0</v>
      </c>
      <c r="AN388" s="3">
        <f t="shared" si="41"/>
        <v>0</v>
      </c>
      <c r="AO388" s="3">
        <f>SUM(J2:J25)</f>
        <v>719.2399999999999</v>
      </c>
      <c r="AP3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2013.1247789999998</v>
      </c>
      <c r="AQ388" s="3" cm="1">
        <f t="array" aca="1" ref="AQ388" ca="1">OFFSET(Table7[[#This Row],[Investment Increase]],0,-1)-SUM($J$2:$J$25*($E$2:$E$25=$Q$31))</f>
        <v>213.12477899999976</v>
      </c>
    </row>
    <row r="389" spans="22:43" x14ac:dyDescent="0.45">
      <c r="V389" s="9">
        <v>44182</v>
      </c>
      <c r="W389" s="3">
        <v>161.22</v>
      </c>
      <c r="X389" s="2" cm="1">
        <f t="array" ref="X389">SUM($F$2:$F$19*($C$2:$C$19=$Q$2))</f>
        <v>3.8</v>
      </c>
      <c r="Y389" s="3">
        <f t="shared" si="36"/>
        <v>612.63599999999997</v>
      </c>
      <c r="Z389" s="3">
        <v>166.76</v>
      </c>
      <c r="AA389" s="2" cm="1">
        <f t="array" ref="AA389">SUM($F$2:$F$19*($C$2:$C$19=$Q$3))</f>
        <v>2.0491000000000001</v>
      </c>
      <c r="AB389" s="3">
        <f t="shared" si="37"/>
        <v>341.70791600000001</v>
      </c>
      <c r="AC389" s="3">
        <v>17.399999999999999</v>
      </c>
      <c r="AD389" s="2" cm="1">
        <f t="array" ref="AD389">SUM($F$2:$F$19*($C$2:$C$19=$Q$4))</f>
        <v>12.476000000000001</v>
      </c>
      <c r="AE389" s="3">
        <f t="shared" si="38"/>
        <v>217.08240000000001</v>
      </c>
      <c r="AF389" s="3">
        <v>13.32</v>
      </c>
      <c r="AG389" s="2" cm="1">
        <f t="array" ref="AG389">SUM($F$2:$F$19*($C$2:$C$19=$Q$5))</f>
        <v>8.8089999999999993</v>
      </c>
      <c r="AH389" s="3">
        <f t="shared" si="39"/>
        <v>117.33587999999999</v>
      </c>
      <c r="AI389" s="3">
        <v>19.239999999999998</v>
      </c>
      <c r="AJ389" s="2" cm="1">
        <f t="array" ref="AJ389">SUM($F$2:$F$19*($C$2:$C$19=$Q$6))</f>
        <v>0</v>
      </c>
      <c r="AK389" s="3">
        <f t="shared" si="40"/>
        <v>0</v>
      </c>
      <c r="AL389" s="3">
        <v>13.43</v>
      </c>
      <c r="AM389" s="2" cm="1">
        <f t="array" ref="AM389">SUM($F$2:$F$19*($C$2:$C$19=$Q$8))</f>
        <v>0</v>
      </c>
      <c r="AN389" s="3">
        <f t="shared" si="41"/>
        <v>0</v>
      </c>
      <c r="AO389" s="3">
        <f>SUM(J2:J19)</f>
        <v>718.8</v>
      </c>
      <c r="AP3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2007.5621960000001</v>
      </c>
      <c r="AQ389" s="3" cm="1">
        <f t="array" aca="1" ref="AQ389" ca="1">OFFSET(Table7[[#This Row],[Investment Increase]],0,-1)-SUM($J$2:$J$19*($E$2:$E$19=$Q$31))</f>
        <v>207.56219600000009</v>
      </c>
    </row>
    <row r="390" spans="22:43" x14ac:dyDescent="0.45">
      <c r="V390" s="9">
        <v>44181</v>
      </c>
      <c r="W390" s="3">
        <v>159.88</v>
      </c>
      <c r="X390" s="2" cm="1">
        <f t="array" ref="X390">SUM($F$2:$F$19*($C$2:$C$19=$Q$2))</f>
        <v>3.8</v>
      </c>
      <c r="Y390" s="3">
        <f t="shared" si="36"/>
        <v>607.54399999999998</v>
      </c>
      <c r="Z390" s="3">
        <v>164.8</v>
      </c>
      <c r="AA390" s="2" cm="1">
        <f t="array" ref="AA390">SUM($F$2:$F$19*($C$2:$C$19=$Q$3))</f>
        <v>2.0491000000000001</v>
      </c>
      <c r="AB390" s="3">
        <f t="shared" si="37"/>
        <v>337.69168000000002</v>
      </c>
      <c r="AC390" s="3">
        <v>17.28</v>
      </c>
      <c r="AD390" s="2" cm="1">
        <f t="array" ref="AD390">SUM($F$2:$F$19*($C$2:$C$19=$Q$4))</f>
        <v>12.476000000000001</v>
      </c>
      <c r="AE390" s="3">
        <f t="shared" si="38"/>
        <v>215.58528000000004</v>
      </c>
      <c r="AF390" s="3">
        <v>13.23</v>
      </c>
      <c r="AG390" s="2" cm="1">
        <f t="array" ref="AG390">SUM($F$2:$F$19*($C$2:$C$19=$Q$5))</f>
        <v>8.8089999999999993</v>
      </c>
      <c r="AH390" s="3">
        <f t="shared" si="39"/>
        <v>116.54307</v>
      </c>
      <c r="AI390" s="3">
        <v>19.149999999999999</v>
      </c>
      <c r="AJ390" s="2" cm="1">
        <f t="array" ref="AJ390">SUM($F$2:$F$19*($C$2:$C$19=$Q$6))</f>
        <v>0</v>
      </c>
      <c r="AK390" s="3">
        <f t="shared" si="40"/>
        <v>0</v>
      </c>
      <c r="AL390" s="3">
        <v>13.28</v>
      </c>
      <c r="AM390" s="2" cm="1">
        <f t="array" ref="AM390">SUM($F$2:$F$19*($C$2:$C$19=$Q$8))</f>
        <v>0</v>
      </c>
      <c r="AN390" s="3">
        <f t="shared" si="41"/>
        <v>0</v>
      </c>
      <c r="AO390" s="3">
        <f>SUM(J2:J19)</f>
        <v>718.8</v>
      </c>
      <c r="AP3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1996.1640299999999</v>
      </c>
      <c r="AQ390" s="3" cm="1">
        <f t="array" aca="1" ref="AQ390" ca="1">OFFSET(Table7[[#This Row],[Investment Increase]],0,-1)-SUM($J$2:$J$19*($E$2:$E$19=$Q$31))</f>
        <v>196.16402999999991</v>
      </c>
    </row>
    <row r="391" spans="22:43" x14ac:dyDescent="0.45">
      <c r="V391" s="9">
        <v>44180</v>
      </c>
      <c r="W391" s="3">
        <v>159.12</v>
      </c>
      <c r="X391" s="2" cm="1">
        <f t="array" ref="X391">SUM($F$2:$F$19*($C$2:$C$19=$Q$2))</f>
        <v>3.8</v>
      </c>
      <c r="Y391" s="3">
        <f t="shared" si="36"/>
        <v>604.65599999999995</v>
      </c>
      <c r="Z391" s="3">
        <v>163.59</v>
      </c>
      <c r="AA391" s="2" cm="1">
        <f t="array" ref="AA391">SUM($F$2:$F$19*($C$2:$C$19=$Q$3))</f>
        <v>2.0491000000000001</v>
      </c>
      <c r="AB391" s="3">
        <f t="shared" si="37"/>
        <v>335.21226900000005</v>
      </c>
      <c r="AC391" s="3">
        <v>17.190000000000001</v>
      </c>
      <c r="AD391" s="2" cm="1">
        <f t="array" ref="AD391">SUM($F$2:$F$19*($C$2:$C$19=$Q$4))</f>
        <v>12.476000000000001</v>
      </c>
      <c r="AE391" s="3">
        <f t="shared" si="38"/>
        <v>214.46244000000004</v>
      </c>
      <c r="AF391" s="3">
        <v>13.21</v>
      </c>
      <c r="AG391" s="2" cm="1">
        <f t="array" ref="AG391">SUM($F$2:$F$19*($C$2:$C$19=$Q$5))</f>
        <v>8.8089999999999993</v>
      </c>
      <c r="AH391" s="3">
        <f t="shared" si="39"/>
        <v>116.36689</v>
      </c>
      <c r="AI391" s="3">
        <v>19.12</v>
      </c>
      <c r="AJ391" s="2" cm="1">
        <f t="array" ref="AJ391">SUM($F$2:$F$19*($C$2:$C$19=$Q$6))</f>
        <v>0</v>
      </c>
      <c r="AK391" s="3">
        <f t="shared" si="40"/>
        <v>0</v>
      </c>
      <c r="AL391" s="3">
        <v>13.29</v>
      </c>
      <c r="AM391" s="2" cm="1">
        <f t="array" ref="AM391">SUM($F$2:$F$19*($C$2:$C$19=$Q$8))</f>
        <v>0</v>
      </c>
      <c r="AN391" s="3">
        <f t="shared" si="41"/>
        <v>0</v>
      </c>
      <c r="AO391" s="3">
        <f>SUM(J2:J19)</f>
        <v>718.8</v>
      </c>
      <c r="AP3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1989.497599</v>
      </c>
      <c r="AQ391" s="3" cm="1">
        <f t="array" aca="1" ref="AQ391" ca="1">OFFSET(Table7[[#This Row],[Investment Increase]],0,-1)-SUM($J$2:$J$19*($E$2:$E$19=$Q$31))</f>
        <v>189.49759900000004</v>
      </c>
    </row>
    <row r="392" spans="22:43" x14ac:dyDescent="0.45">
      <c r="V392" s="9">
        <v>44179</v>
      </c>
      <c r="W392" s="3">
        <v>157.16</v>
      </c>
      <c r="X392" s="2" cm="1">
        <f t="array" ref="X392">SUM($F$2:$F$19*($C$2:$C$19=$Q$2))</f>
        <v>3.8</v>
      </c>
      <c r="Y392" s="3">
        <f t="shared" si="36"/>
        <v>597.20799999999997</v>
      </c>
      <c r="Z392" s="3">
        <v>161.37</v>
      </c>
      <c r="AA392" s="2" cm="1">
        <f t="array" ref="AA392">SUM($F$2:$F$19*($C$2:$C$19=$Q$3))</f>
        <v>2.0491000000000001</v>
      </c>
      <c r="AB392" s="3">
        <f t="shared" si="37"/>
        <v>330.66326700000002</v>
      </c>
      <c r="AC392" s="3">
        <v>17.010000000000002</v>
      </c>
      <c r="AD392" s="2" cm="1">
        <f t="array" ref="AD392">SUM($F$2:$F$19*($C$2:$C$19=$Q$4))</f>
        <v>12.476000000000001</v>
      </c>
      <c r="AE392" s="3">
        <f t="shared" si="38"/>
        <v>212.21676000000002</v>
      </c>
      <c r="AF392" s="3">
        <v>13.04</v>
      </c>
      <c r="AG392" s="2" cm="1">
        <f t="array" ref="AG392">SUM($F$2:$F$19*($C$2:$C$19=$Q$5))</f>
        <v>8.8089999999999993</v>
      </c>
      <c r="AH392" s="3">
        <f t="shared" si="39"/>
        <v>114.86935999999999</v>
      </c>
      <c r="AI392" s="3">
        <v>18.84</v>
      </c>
      <c r="AJ392" s="2" cm="1">
        <f t="array" ref="AJ392">SUM($F$2:$F$19*($C$2:$C$19=$Q$6))</f>
        <v>0</v>
      </c>
      <c r="AK392" s="3">
        <f t="shared" si="40"/>
        <v>0</v>
      </c>
      <c r="AL392" s="3">
        <v>13.08</v>
      </c>
      <c r="AM392" s="2" cm="1">
        <f t="array" ref="AM392">SUM($F$2:$F$19*($C$2:$C$19=$Q$8))</f>
        <v>0</v>
      </c>
      <c r="AN392" s="3">
        <f t="shared" si="41"/>
        <v>0</v>
      </c>
      <c r="AO392" s="3">
        <f>SUM(J2:J19)</f>
        <v>718.8</v>
      </c>
      <c r="AP3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1973.7573869999999</v>
      </c>
      <c r="AQ392" s="3" cm="1">
        <f t="array" aca="1" ref="AQ392" ca="1">OFFSET(Table7[[#This Row],[Investment Increase]],0,-1)-SUM($J$2:$J$19*($E$2:$E$19=$Q$31))</f>
        <v>173.75738699999988</v>
      </c>
    </row>
    <row r="393" spans="22:43" x14ac:dyDescent="0.45">
      <c r="V393" s="9">
        <v>44176</v>
      </c>
      <c r="W393" s="3">
        <v>156.34</v>
      </c>
      <c r="X393" s="2" cm="1">
        <f t="array" ref="X393">SUM($F$2:$F$19*($C$2:$C$19=$Q$2))</f>
        <v>3.8</v>
      </c>
      <c r="Y393" s="3">
        <f t="shared" si="36"/>
        <v>594.09199999999998</v>
      </c>
      <c r="Z393" s="3">
        <v>160.69999999999999</v>
      </c>
      <c r="AA393" s="2" cm="1">
        <f t="array" ref="AA393">SUM($F$2:$F$19*($C$2:$C$19=$Q$3))</f>
        <v>2.0491000000000001</v>
      </c>
      <c r="AB393" s="3">
        <f t="shared" si="37"/>
        <v>329.29037</v>
      </c>
      <c r="AC393" s="3">
        <v>16.96</v>
      </c>
      <c r="AD393" s="2" cm="1">
        <f t="array" ref="AD393">SUM($F$2:$F$19*($C$2:$C$19=$Q$4))</f>
        <v>12.476000000000001</v>
      </c>
      <c r="AE393" s="3">
        <f t="shared" si="38"/>
        <v>211.59296000000003</v>
      </c>
      <c r="AF393" s="3">
        <v>13.08</v>
      </c>
      <c r="AG393" s="2" cm="1">
        <f t="array" ref="AG393">SUM($F$2:$F$19*($C$2:$C$19=$Q$5))</f>
        <v>8.8089999999999993</v>
      </c>
      <c r="AH393" s="3">
        <f t="shared" si="39"/>
        <v>115.22171999999999</v>
      </c>
      <c r="AI393" s="3">
        <v>18.95</v>
      </c>
      <c r="AJ393" s="2" cm="1">
        <f t="array" ref="AJ393">SUM($F$2:$F$19*($C$2:$C$19=$Q$6))</f>
        <v>0</v>
      </c>
      <c r="AK393" s="3">
        <f t="shared" si="40"/>
        <v>0</v>
      </c>
      <c r="AL393" s="3">
        <v>13.26</v>
      </c>
      <c r="AM393" s="2" cm="1">
        <f t="array" ref="AM393">SUM($F$2:$F$19*($C$2:$C$19=$Q$8))</f>
        <v>0</v>
      </c>
      <c r="AN393" s="3">
        <f t="shared" si="41"/>
        <v>0</v>
      </c>
      <c r="AO393" s="3">
        <f>SUM(J2:J19)</f>
        <v>718.8</v>
      </c>
      <c r="AP3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1968.9970499999999</v>
      </c>
      <c r="AQ393" s="3" cm="1">
        <f t="array" aca="1" ref="AQ393" ca="1">OFFSET(Table7[[#This Row],[Investment Increase]],0,-1)-SUM($J$2:$J$19*($E$2:$E$19=$Q$31))</f>
        <v>168.99704999999994</v>
      </c>
    </row>
    <row r="394" spans="22:43" x14ac:dyDescent="0.45">
      <c r="V394" s="9">
        <v>44175</v>
      </c>
      <c r="W394" s="3">
        <v>156.68</v>
      </c>
      <c r="X394" s="2" cm="1">
        <f t="array" ref="X394">SUM($F$2:$F$19*($C$2:$C$19=$Q$2))</f>
        <v>3.8</v>
      </c>
      <c r="Y394" s="3">
        <f t="shared" si="36"/>
        <v>595.38400000000001</v>
      </c>
      <c r="Z394" s="3">
        <v>161.63999999999999</v>
      </c>
      <c r="AA394" s="2" cm="1">
        <f t="array" ref="AA394">SUM($F$2:$F$19*($C$2:$C$19=$Q$3))</f>
        <v>2.0491000000000001</v>
      </c>
      <c r="AB394" s="3">
        <f t="shared" si="37"/>
        <v>331.21652399999999</v>
      </c>
      <c r="AC394" s="3">
        <v>17.05</v>
      </c>
      <c r="AD394" s="2" cm="1">
        <f t="array" ref="AD394">SUM($F$2:$F$19*($C$2:$C$19=$Q$4))</f>
        <v>12.476000000000001</v>
      </c>
      <c r="AE394" s="3">
        <f t="shared" si="38"/>
        <v>212.71580000000003</v>
      </c>
      <c r="AF394" s="3">
        <v>13.1</v>
      </c>
      <c r="AG394" s="2" cm="1">
        <f t="array" ref="AG394">SUM($F$2:$F$19*($C$2:$C$19=$Q$5))</f>
        <v>8.8089999999999993</v>
      </c>
      <c r="AH394" s="3">
        <f t="shared" si="39"/>
        <v>115.39789999999999</v>
      </c>
      <c r="AI394" s="3">
        <v>19.02</v>
      </c>
      <c r="AJ394" s="2" cm="1">
        <f t="array" ref="AJ394">SUM($F$2:$F$19*($C$2:$C$19=$Q$6))</f>
        <v>0</v>
      </c>
      <c r="AK394" s="3">
        <f t="shared" si="40"/>
        <v>0</v>
      </c>
      <c r="AL394" s="3">
        <v>13.32</v>
      </c>
      <c r="AM394" s="2" cm="1">
        <f t="array" ref="AM394">SUM($F$2:$F$19*($C$2:$C$19=$Q$8))</f>
        <v>0</v>
      </c>
      <c r="AN394" s="3">
        <f t="shared" si="41"/>
        <v>0</v>
      </c>
      <c r="AO394" s="3">
        <f>SUM(J2:J19)</f>
        <v>718.8</v>
      </c>
      <c r="AP3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1973.5142239999998</v>
      </c>
      <c r="AQ394" s="3" cm="1">
        <f t="array" aca="1" ref="AQ394" ca="1">OFFSET(Table7[[#This Row],[Investment Increase]],0,-1)-SUM($J$2:$J$19*($E$2:$E$19=$Q$31))</f>
        <v>173.51422399999979</v>
      </c>
    </row>
    <row r="395" spans="22:43" x14ac:dyDescent="0.45">
      <c r="V395" s="9">
        <v>44174</v>
      </c>
      <c r="W395" s="3">
        <v>155.84</v>
      </c>
      <c r="X395" s="2" cm="1">
        <f t="array" ref="X395">SUM($F$2:$F$19*($C$2:$C$19=$Q$2))</f>
        <v>3.8</v>
      </c>
      <c r="Y395" s="3">
        <f t="shared" si="36"/>
        <v>592.19200000000001</v>
      </c>
      <c r="Z395" s="3">
        <v>160.29</v>
      </c>
      <c r="AA395" s="2" cm="1">
        <f t="array" ref="AA395">SUM($F$2:$F$19*($C$2:$C$19=$Q$3))</f>
        <v>2.0491000000000001</v>
      </c>
      <c r="AB395" s="3">
        <f t="shared" si="37"/>
        <v>328.45023900000001</v>
      </c>
      <c r="AC395" s="3">
        <v>16.93</v>
      </c>
      <c r="AD395" s="2" cm="1">
        <f t="array" ref="AD395">SUM($F$2:$F$19*($C$2:$C$19=$Q$4))</f>
        <v>12.476000000000001</v>
      </c>
      <c r="AE395" s="3">
        <f t="shared" si="38"/>
        <v>211.21868000000001</v>
      </c>
      <c r="AF395" s="3">
        <v>13.1</v>
      </c>
      <c r="AG395" s="2" cm="1">
        <f t="array" ref="AG395">SUM($F$2:$F$19*($C$2:$C$19=$Q$5))</f>
        <v>8.8089999999999993</v>
      </c>
      <c r="AH395" s="3">
        <f t="shared" si="39"/>
        <v>115.39789999999999</v>
      </c>
      <c r="AI395" s="3">
        <v>19.03</v>
      </c>
      <c r="AJ395" s="2" cm="1">
        <f t="array" ref="AJ395">SUM($F$2:$F$19*($C$2:$C$19=$Q$6))</f>
        <v>0</v>
      </c>
      <c r="AK395" s="3">
        <f t="shared" si="40"/>
        <v>0</v>
      </c>
      <c r="AL395" s="3">
        <v>13.12</v>
      </c>
      <c r="AM395" s="2" cm="1">
        <f t="array" ref="AM395">SUM($F$2:$F$19*($C$2:$C$19=$Q$8))</f>
        <v>0</v>
      </c>
      <c r="AN395" s="3">
        <f t="shared" si="41"/>
        <v>0</v>
      </c>
      <c r="AO395" s="3">
        <f>SUM(J2:J19)</f>
        <v>718.8</v>
      </c>
      <c r="AP3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1966.0588189999999</v>
      </c>
      <c r="AQ395" s="3" cm="1">
        <f t="array" aca="1" ref="AQ395" ca="1">OFFSET(Table7[[#This Row],[Investment Increase]],0,-1)-SUM($J$2:$J$19*($E$2:$E$19=$Q$31))</f>
        <v>166.05881899999986</v>
      </c>
    </row>
    <row r="396" spans="22:43" x14ac:dyDescent="0.45">
      <c r="V396" s="9">
        <v>44173</v>
      </c>
      <c r="W396" s="3">
        <v>158.91</v>
      </c>
      <c r="X396" s="2" cm="1">
        <f t="array" ref="X396">SUM($F$2:$F$19*($C$2:$C$19=$Q$2))</f>
        <v>3.8</v>
      </c>
      <c r="Y396" s="3">
        <f t="shared" si="36"/>
        <v>603.85799999999995</v>
      </c>
      <c r="Z396" s="3">
        <v>163.28</v>
      </c>
      <c r="AA396" s="2" cm="1">
        <f t="array" ref="AA396">SUM($F$2:$F$19*($C$2:$C$19=$Q$3))</f>
        <v>2.0491000000000001</v>
      </c>
      <c r="AB396" s="3">
        <f t="shared" si="37"/>
        <v>334.57704800000005</v>
      </c>
      <c r="AC396" s="3">
        <v>17.23</v>
      </c>
      <c r="AD396" s="2" cm="1">
        <f t="array" ref="AD396">SUM($F$2:$F$19*($C$2:$C$19=$Q$4))</f>
        <v>12.476000000000001</v>
      </c>
      <c r="AE396" s="3">
        <f t="shared" si="38"/>
        <v>214.96148000000002</v>
      </c>
      <c r="AF396" s="3">
        <v>13.23</v>
      </c>
      <c r="AG396" s="2" cm="1">
        <f t="array" ref="AG396">SUM($F$2:$F$19*($C$2:$C$19=$Q$5))</f>
        <v>8.8089999999999993</v>
      </c>
      <c r="AH396" s="3">
        <f t="shared" si="39"/>
        <v>116.54307</v>
      </c>
      <c r="AI396" s="3">
        <v>19.170000000000002</v>
      </c>
      <c r="AJ396" s="2" cm="1">
        <f t="array" ref="AJ396">SUM($F$2:$F$19*($C$2:$C$19=$Q$6))</f>
        <v>0</v>
      </c>
      <c r="AK396" s="3">
        <f t="shared" si="40"/>
        <v>0</v>
      </c>
      <c r="AL396" s="3">
        <v>13.12</v>
      </c>
      <c r="AM396" s="2" cm="1">
        <f t="array" ref="AM396">SUM($F$2:$F$19*($C$2:$C$19=$Q$8))</f>
        <v>0</v>
      </c>
      <c r="AN396" s="3">
        <f t="shared" si="41"/>
        <v>0</v>
      </c>
      <c r="AO396" s="3">
        <f>SUM(J2:J19)</f>
        <v>718.8</v>
      </c>
      <c r="AP3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1988.7395979999999</v>
      </c>
      <c r="AQ396" s="3" cm="1">
        <f t="array" aca="1" ref="AQ396" ca="1">OFFSET(Table7[[#This Row],[Investment Increase]],0,-1)-SUM($J$2:$J$19*($E$2:$E$19=$Q$31))</f>
        <v>188.73959799999989</v>
      </c>
    </row>
    <row r="397" spans="22:43" x14ac:dyDescent="0.45">
      <c r="V397" s="9">
        <v>44172</v>
      </c>
      <c r="W397" s="3">
        <v>158.1</v>
      </c>
      <c r="X397" s="2" cm="1">
        <f t="array" ref="X397">SUM($F$2:$F$19*($C$2:$C$19=$Q$2))</f>
        <v>3.8</v>
      </c>
      <c r="Y397" s="3">
        <f t="shared" si="36"/>
        <v>600.78</v>
      </c>
      <c r="Z397" s="3">
        <v>162.28</v>
      </c>
      <c r="AA397" s="2" cm="1">
        <f t="array" ref="AA397">SUM($F$2:$F$19*($C$2:$C$19=$Q$3))</f>
        <v>2.0491000000000001</v>
      </c>
      <c r="AB397" s="3">
        <f t="shared" si="37"/>
        <v>332.52794800000004</v>
      </c>
      <c r="AC397" s="3">
        <v>17.190000000000001</v>
      </c>
      <c r="AD397" s="2" cm="1">
        <f t="array" ref="AD397">SUM($F$2:$F$19*($C$2:$C$19=$Q$4))</f>
        <v>12.476000000000001</v>
      </c>
      <c r="AE397" s="3">
        <f t="shared" si="38"/>
        <v>214.46244000000004</v>
      </c>
      <c r="AF397" s="3">
        <v>13.19</v>
      </c>
      <c r="AG397" s="2" cm="1">
        <f t="array" ref="AG397">SUM($F$2:$F$19*($C$2:$C$19=$Q$5))</f>
        <v>8.8089999999999993</v>
      </c>
      <c r="AH397" s="3">
        <f t="shared" si="39"/>
        <v>116.19070999999998</v>
      </c>
      <c r="AI397" s="3">
        <v>19.12</v>
      </c>
      <c r="AJ397" s="2" cm="1">
        <f t="array" ref="AJ397">SUM($F$2:$F$19*($C$2:$C$19=$Q$6))</f>
        <v>0</v>
      </c>
      <c r="AK397" s="3">
        <f t="shared" si="40"/>
        <v>0</v>
      </c>
      <c r="AL397" s="3">
        <v>13.07</v>
      </c>
      <c r="AM397" s="2" cm="1">
        <f t="array" ref="AM397">SUM($F$2:$F$19*($C$2:$C$19=$Q$8))</f>
        <v>0</v>
      </c>
      <c r="AN397" s="3">
        <f t="shared" si="41"/>
        <v>0</v>
      </c>
      <c r="AO397" s="3">
        <f>SUM(J2:J19)</f>
        <v>718.8</v>
      </c>
      <c r="AP3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1982.7610980000002</v>
      </c>
      <c r="AQ397" s="3" cm="1">
        <f t="array" aca="1" ref="AQ397" ca="1">OFFSET(Table7[[#This Row],[Investment Increase]],0,-1)-SUM($J$2:$J$19*($E$2:$E$19=$Q$31))</f>
        <v>182.76109800000017</v>
      </c>
    </row>
    <row r="398" spans="22:43" x14ac:dyDescent="0.45">
      <c r="V398" s="9">
        <v>44169</v>
      </c>
      <c r="W398" s="3">
        <v>157.41999999999999</v>
      </c>
      <c r="X398" s="2" cm="1">
        <f t="array" ref="X398">SUM($F$2:$F$19*($C$2:$C$19=$Q$2))</f>
        <v>3.8</v>
      </c>
      <c r="Y398" s="3">
        <f t="shared" si="36"/>
        <v>598.19599999999991</v>
      </c>
      <c r="Z398" s="3">
        <v>161.26</v>
      </c>
      <c r="AA398" s="2" cm="1">
        <f t="array" ref="AA398">SUM($F$2:$F$19*($C$2:$C$19=$Q$3))</f>
        <v>2.0491000000000001</v>
      </c>
      <c r="AB398" s="3">
        <f t="shared" si="37"/>
        <v>330.43786599999999</v>
      </c>
      <c r="AC398" s="3">
        <v>17.12</v>
      </c>
      <c r="AD398" s="2" cm="1">
        <f t="array" ref="AD398">SUM($F$2:$F$19*($C$2:$C$19=$Q$4))</f>
        <v>12.476000000000001</v>
      </c>
      <c r="AE398" s="3">
        <f t="shared" si="38"/>
        <v>213.58912000000004</v>
      </c>
      <c r="AF398" s="3">
        <v>13.2</v>
      </c>
      <c r="AG398" s="2" cm="1">
        <f t="array" ref="AG398">SUM($F$2:$F$19*($C$2:$C$19=$Q$5))</f>
        <v>8.8089999999999993</v>
      </c>
      <c r="AH398" s="3">
        <f t="shared" si="39"/>
        <v>116.27879999999999</v>
      </c>
      <c r="AI398" s="3">
        <v>19.170000000000002</v>
      </c>
      <c r="AJ398" s="2" cm="1">
        <f t="array" ref="AJ398">SUM($F$2:$F$19*($C$2:$C$19=$Q$6))</f>
        <v>0</v>
      </c>
      <c r="AK398" s="3">
        <f t="shared" si="40"/>
        <v>0</v>
      </c>
      <c r="AL398" s="3">
        <v>13.18</v>
      </c>
      <c r="AM398" s="2" cm="1">
        <f t="array" ref="AM398">SUM($F$2:$F$19*($C$2:$C$19=$Q$8))</f>
        <v>0</v>
      </c>
      <c r="AN398" s="3">
        <f t="shared" si="41"/>
        <v>0</v>
      </c>
      <c r="AO398" s="3">
        <f>SUM(J2:J19)</f>
        <v>718.8</v>
      </c>
      <c r="AP3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1977.301786</v>
      </c>
      <c r="AQ398" s="3" cm="1">
        <f t="array" aca="1" ref="AQ398" ca="1">OFFSET(Table7[[#This Row],[Investment Increase]],0,-1)-SUM($J$2:$J$19*($E$2:$E$19=$Q$31))</f>
        <v>177.30178599999999</v>
      </c>
    </row>
    <row r="399" spans="22:43" x14ac:dyDescent="0.45">
      <c r="V399" s="9">
        <v>44168</v>
      </c>
      <c r="W399" s="3">
        <v>156.34</v>
      </c>
      <c r="X399" s="2" cm="1">
        <f t="array" ref="X399">SUM($F$2:$F$17*($C$2:$C$17=$Q$2))</f>
        <v>3.8</v>
      </c>
      <c r="Y399" s="3">
        <f t="shared" si="36"/>
        <v>594.09199999999998</v>
      </c>
      <c r="Z399" s="3">
        <v>160.08000000000001</v>
      </c>
      <c r="AA399" s="2" cm="1">
        <f t="array" ref="AA399">SUM($F$2:$F$17*($C$2:$C$17=$Q$3))</f>
        <v>2.0491000000000001</v>
      </c>
      <c r="AB399" s="3">
        <f t="shared" si="37"/>
        <v>328.01992800000005</v>
      </c>
      <c r="AC399" s="3">
        <v>17.02</v>
      </c>
      <c r="AD399" s="2" cm="1">
        <f t="array" ref="AD399">SUM($F$2:$F$17*($C$2:$C$17=$Q$4))</f>
        <v>12.476000000000001</v>
      </c>
      <c r="AE399" s="3">
        <f t="shared" si="38"/>
        <v>212.34152</v>
      </c>
      <c r="AF399" s="3">
        <v>13.24</v>
      </c>
      <c r="AG399" s="2" cm="1">
        <f t="array" ref="AG399">SUM($F$2:$F$17*($C$2:$C$17=$Q$5))</f>
        <v>8.7029999999999994</v>
      </c>
      <c r="AH399" s="3">
        <f t="shared" si="39"/>
        <v>115.22771999999999</v>
      </c>
      <c r="AI399" s="3">
        <v>18.98</v>
      </c>
      <c r="AJ399" s="2" cm="1">
        <f t="array" ref="AJ399">SUM($F$2:$F$17*($C$2:$C$17=$Q$6))</f>
        <v>0</v>
      </c>
      <c r="AK399" s="3">
        <f t="shared" si="40"/>
        <v>0</v>
      </c>
      <c r="AL399" s="3">
        <v>13.08</v>
      </c>
      <c r="AM399" s="2" cm="1">
        <f t="array" ref="AM399">SUM($F$2:$F$17*($C$2:$C$17=$Q$8))</f>
        <v>0</v>
      </c>
      <c r="AN399" s="3">
        <f t="shared" si="41"/>
        <v>0</v>
      </c>
      <c r="AO399" s="3">
        <f>SUM(J2:J17)</f>
        <v>718.8</v>
      </c>
      <c r="AP3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1968.481168</v>
      </c>
      <c r="AQ399" s="3" cm="1">
        <f t="array" aca="1" ref="AQ399" ca="1">OFFSET(Table7[[#This Row],[Investment Increase]],0,-1)-SUM($J$2:$J$17*($E$2:$E$17=$Q$31))</f>
        <v>168.48116800000003</v>
      </c>
    </row>
    <row r="400" spans="22:43" x14ac:dyDescent="0.45">
      <c r="V400" s="9">
        <v>44167</v>
      </c>
      <c r="W400" s="3">
        <v>156</v>
      </c>
      <c r="X400" s="2" cm="1">
        <f t="array" ref="X400">SUM($F$2:$F$17*($C$2:$C$17=$Q$2))</f>
        <v>3.8</v>
      </c>
      <c r="Y400" s="3">
        <f t="shared" si="36"/>
        <v>592.79999999999995</v>
      </c>
      <c r="Z400" s="3">
        <v>159.59</v>
      </c>
      <c r="AA400" s="2" cm="1">
        <f t="array" ref="AA400">SUM($F$2:$F$17*($C$2:$C$17=$Q$3))</f>
        <v>2.0491000000000001</v>
      </c>
      <c r="AB400" s="3">
        <f t="shared" si="37"/>
        <v>327.01586900000001</v>
      </c>
      <c r="AC400" s="3">
        <v>16.97</v>
      </c>
      <c r="AD400" s="2" cm="1">
        <f t="array" ref="AD400">SUM($F$2:$F$17*($C$2:$C$17=$Q$4))</f>
        <v>12.476000000000001</v>
      </c>
      <c r="AE400" s="3">
        <f t="shared" si="38"/>
        <v>211.71772000000001</v>
      </c>
      <c r="AF400" s="3">
        <v>13.24</v>
      </c>
      <c r="AG400" s="2" cm="1">
        <f t="array" ref="AG400">SUM($F$2:$F$17*($C$2:$C$17=$Q$5))</f>
        <v>8.7029999999999994</v>
      </c>
      <c r="AH400" s="3">
        <f t="shared" si="39"/>
        <v>115.22771999999999</v>
      </c>
      <c r="AI400" s="3">
        <v>18.98</v>
      </c>
      <c r="AJ400" s="2" cm="1">
        <f t="array" ref="AJ400">SUM($F$2:$F$17*($C$2:$C$17=$Q$6))</f>
        <v>0</v>
      </c>
      <c r="AK400" s="3">
        <f t="shared" si="40"/>
        <v>0</v>
      </c>
      <c r="AL400" s="3">
        <v>12.89</v>
      </c>
      <c r="AM400" s="2" cm="1">
        <f t="array" ref="AM400">SUM($F$2:$F$17*($C$2:$C$17=$Q$8))</f>
        <v>0</v>
      </c>
      <c r="AN400" s="3">
        <f t="shared" si="41"/>
        <v>0</v>
      </c>
      <c r="AO400" s="3">
        <f>SUM(J2:J17)</f>
        <v>718.8</v>
      </c>
      <c r="AP4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1965.5613090000002</v>
      </c>
      <c r="AQ400" s="3" cm="1">
        <f t="array" aca="1" ref="AQ400" ca="1">OFFSET(Table7[[#This Row],[Investment Increase]],0,-1)-SUM($J$2:$J$17*($E$2:$E$17=$Q$31))</f>
        <v>165.56130900000016</v>
      </c>
    </row>
    <row r="401" spans="22:43" x14ac:dyDescent="0.45">
      <c r="V401" s="9">
        <v>44166</v>
      </c>
      <c r="W401" s="3">
        <v>156.09</v>
      </c>
      <c r="X401" s="2" cm="1">
        <f t="array" ref="X401">SUM($F$2:$F$17*($C$2:$C$17=$Q$2))</f>
        <v>3.8</v>
      </c>
      <c r="Y401" s="3">
        <f t="shared" si="36"/>
        <v>593.14199999999994</v>
      </c>
      <c r="Z401" s="3">
        <v>159.59</v>
      </c>
      <c r="AA401" s="2" cm="1">
        <f t="array" ref="AA401">SUM($F$2:$F$17*($C$2:$C$17=$Q$3))</f>
        <v>2.0491000000000001</v>
      </c>
      <c r="AB401" s="3">
        <f t="shared" si="37"/>
        <v>327.01586900000001</v>
      </c>
      <c r="AC401" s="3">
        <v>16.97</v>
      </c>
      <c r="AD401" s="2" cm="1">
        <f t="array" ref="AD401">SUM($F$2:$F$17*($C$2:$C$17=$Q$4))</f>
        <v>12.476000000000001</v>
      </c>
      <c r="AE401" s="3">
        <f t="shared" si="38"/>
        <v>211.71772000000001</v>
      </c>
      <c r="AF401" s="3">
        <v>13.22</v>
      </c>
      <c r="AG401" s="2" cm="1">
        <f t="array" ref="AG401">SUM($F$2:$F$17*($C$2:$C$17=$Q$5))</f>
        <v>8.7029999999999994</v>
      </c>
      <c r="AH401" s="3">
        <f t="shared" si="39"/>
        <v>115.05365999999999</v>
      </c>
      <c r="AI401" s="3">
        <v>18.93</v>
      </c>
      <c r="AJ401" s="2" cm="1">
        <f t="array" ref="AJ401">SUM($F$2:$F$17*($C$2:$C$17=$Q$6))</f>
        <v>0</v>
      </c>
      <c r="AK401" s="3">
        <f t="shared" si="40"/>
        <v>0</v>
      </c>
      <c r="AL401" s="3">
        <v>12.78</v>
      </c>
      <c r="AM401" s="2" cm="1">
        <f t="array" ref="AM401">SUM($F$2:$F$17*($C$2:$C$17=$Q$8))</f>
        <v>0</v>
      </c>
      <c r="AN401" s="3">
        <f t="shared" si="41"/>
        <v>0</v>
      </c>
      <c r="AO401" s="3">
        <f>SUM(J2:J17)</f>
        <v>718.8</v>
      </c>
      <c r="AP4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1965.729249</v>
      </c>
      <c r="AQ401" s="3" cm="1">
        <f t="array" aca="1" ref="AQ401" ca="1">OFFSET(Table7[[#This Row],[Investment Increase]],0,-1)-SUM($J$2:$J$17*($E$2:$E$17=$Q$31))</f>
        <v>165.72924899999998</v>
      </c>
    </row>
    <row r="402" spans="22:43" x14ac:dyDescent="0.45">
      <c r="V402" s="9">
        <v>44165</v>
      </c>
      <c r="W402" s="3">
        <v>154.09</v>
      </c>
      <c r="X402" s="2" cm="1">
        <f t="array" ref="X402">SUM($F$2:$F$17*($C$2:$C$17=$Q$2))</f>
        <v>3.8</v>
      </c>
      <c r="Y402" s="3">
        <f t="shared" si="36"/>
        <v>585.54200000000003</v>
      </c>
      <c r="Z402" s="3">
        <v>158.35</v>
      </c>
      <c r="AA402" s="2" cm="1">
        <f t="array" ref="AA402">SUM($F$2:$F$17*($C$2:$C$17=$Q$3))</f>
        <v>2.0491000000000001</v>
      </c>
      <c r="AB402" s="3">
        <f t="shared" si="37"/>
        <v>324.474985</v>
      </c>
      <c r="AC402" s="3">
        <v>16.7</v>
      </c>
      <c r="AD402" s="2" cm="1">
        <f t="array" ref="AD402">SUM($F$2:$F$17*($C$2:$C$17=$Q$4))</f>
        <v>12.476000000000001</v>
      </c>
      <c r="AE402" s="3">
        <f t="shared" si="38"/>
        <v>208.3492</v>
      </c>
      <c r="AF402" s="3">
        <v>13.07</v>
      </c>
      <c r="AG402" s="2" cm="1">
        <f t="array" ref="AG402">SUM($F$2:$F$17*($C$2:$C$17=$Q$5))</f>
        <v>8.7029999999999994</v>
      </c>
      <c r="AH402" s="3">
        <f t="shared" si="39"/>
        <v>113.74821</v>
      </c>
      <c r="AI402" s="3">
        <v>18.73</v>
      </c>
      <c r="AJ402" s="2" cm="1">
        <f t="array" ref="AJ402">SUM($F$2:$F$17*($C$2:$C$17=$Q$6))</f>
        <v>0</v>
      </c>
      <c r="AK402" s="3">
        <f t="shared" si="40"/>
        <v>0</v>
      </c>
      <c r="AL402" s="3">
        <v>12.52</v>
      </c>
      <c r="AM402" s="2" cm="1">
        <f t="array" ref="AM402">SUM($F$2:$F$17*($C$2:$C$17=$Q$8))</f>
        <v>0</v>
      </c>
      <c r="AN402" s="3">
        <f t="shared" si="41"/>
        <v>0</v>
      </c>
      <c r="AO402" s="3">
        <f>SUM(J2:J17)</f>
        <v>718.8</v>
      </c>
      <c r="AP4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1950.9143949999998</v>
      </c>
      <c r="AQ402" s="3" cm="1">
        <f t="array" aca="1" ref="AQ402" ca="1">OFFSET(Table7[[#This Row],[Investment Increase]],0,-1)-SUM($J$2:$J$17*($E$2:$E$17=$Q$31))</f>
        <v>150.91439499999979</v>
      </c>
    </row>
    <row r="403" spans="22:43" x14ac:dyDescent="0.45">
      <c r="V403" s="9">
        <v>44162</v>
      </c>
      <c r="W403" s="3">
        <v>154.18</v>
      </c>
      <c r="X403" s="2" cm="1">
        <f t="array" ref="X403">SUM($F$2:$F$17*($C$2:$C$17=$Q$2))</f>
        <v>3.8</v>
      </c>
      <c r="Y403" s="3">
        <f t="shared" si="36"/>
        <v>585.88400000000001</v>
      </c>
      <c r="Z403" s="3">
        <v>158.79</v>
      </c>
      <c r="AA403" s="2" cm="1">
        <f t="array" ref="AA403">SUM($F$2:$F$17*($C$2:$C$17=$Q$3))</f>
        <v>2.0491000000000001</v>
      </c>
      <c r="AB403" s="3">
        <f t="shared" si="37"/>
        <v>325.37658900000002</v>
      </c>
      <c r="AC403" s="3">
        <v>16.739999999999998</v>
      </c>
      <c r="AD403" s="2" cm="1">
        <f t="array" ref="AD403">SUM($F$2:$F$17*($C$2:$C$17=$Q$4))</f>
        <v>12.476000000000001</v>
      </c>
      <c r="AE403" s="3">
        <f t="shared" si="38"/>
        <v>208.84824</v>
      </c>
      <c r="AF403" s="3">
        <v>13.13</v>
      </c>
      <c r="AG403" s="2" cm="1">
        <f t="array" ref="AG403">SUM($F$2:$F$17*($C$2:$C$17=$Q$5))</f>
        <v>8.7029999999999994</v>
      </c>
      <c r="AH403" s="3">
        <f t="shared" si="39"/>
        <v>114.27038999999999</v>
      </c>
      <c r="AI403" s="3">
        <v>18.88</v>
      </c>
      <c r="AJ403" s="2" cm="1">
        <f t="array" ref="AJ403">SUM($F$2:$F$17*($C$2:$C$17=$Q$6))</f>
        <v>0</v>
      </c>
      <c r="AK403" s="3">
        <f t="shared" si="40"/>
        <v>0</v>
      </c>
      <c r="AL403" s="3">
        <v>12.82</v>
      </c>
      <c r="AM403" s="2" cm="1">
        <f t="array" ref="AM403">SUM($F$2:$F$17*($C$2:$C$17=$Q$8))</f>
        <v>0</v>
      </c>
      <c r="AN403" s="3">
        <f t="shared" si="41"/>
        <v>0</v>
      </c>
      <c r="AO403" s="3">
        <f>SUM(J2:J17)</f>
        <v>718.8</v>
      </c>
      <c r="AP4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1953.1792189999999</v>
      </c>
      <c r="AQ403" s="3" cm="1">
        <f t="array" aca="1" ref="AQ403" ca="1">OFFSET(Table7[[#This Row],[Investment Increase]],0,-1)-SUM($J$2:$J$17*($E$2:$E$17=$Q$31))</f>
        <v>153.17921899999988</v>
      </c>
    </row>
    <row r="404" spans="22:43" x14ac:dyDescent="0.45">
      <c r="V404" s="9">
        <v>44160</v>
      </c>
      <c r="W404" s="3">
        <v>152.78</v>
      </c>
      <c r="X404" s="2" cm="1">
        <f t="array" ref="X404">SUM($F$2:$F$17*($C$2:$C$17=$Q$2))</f>
        <v>3.8</v>
      </c>
      <c r="Y404" s="3">
        <f t="shared" si="36"/>
        <v>580.56399999999996</v>
      </c>
      <c r="Z404" s="3">
        <v>157.27000000000001</v>
      </c>
      <c r="AA404" s="2" cm="1">
        <f t="array" ref="AA404">SUM($F$2:$F$17*($C$2:$C$17=$Q$3))</f>
        <v>2.0491000000000001</v>
      </c>
      <c r="AB404" s="3">
        <f t="shared" si="37"/>
        <v>322.26195700000005</v>
      </c>
      <c r="AC404" s="3">
        <v>16.61</v>
      </c>
      <c r="AD404" s="2" cm="1">
        <f t="array" ref="AD404">SUM($F$2:$F$17*($C$2:$C$17=$Q$4))</f>
        <v>12.476000000000001</v>
      </c>
      <c r="AE404" s="3">
        <f t="shared" si="38"/>
        <v>207.22636</v>
      </c>
      <c r="AF404" s="3">
        <v>13.09</v>
      </c>
      <c r="AG404" s="2" cm="1">
        <f t="array" ref="AG404">SUM($F$2:$F$17*($C$2:$C$17=$Q$5))</f>
        <v>8.7029999999999994</v>
      </c>
      <c r="AH404" s="3">
        <f t="shared" si="39"/>
        <v>113.92227</v>
      </c>
      <c r="AI404" s="3">
        <v>18.829999999999998</v>
      </c>
      <c r="AJ404" s="2" cm="1">
        <f t="array" ref="AJ404">SUM($F$2:$F$17*($C$2:$C$17=$Q$6))</f>
        <v>0</v>
      </c>
      <c r="AK404" s="3">
        <f t="shared" si="40"/>
        <v>0</v>
      </c>
      <c r="AL404" s="3">
        <v>12.78</v>
      </c>
      <c r="AM404" s="2" cm="1">
        <f t="array" ref="AM404">SUM($F$2:$F$17*($C$2:$C$17=$Q$8))</f>
        <v>0</v>
      </c>
      <c r="AN404" s="3">
        <f t="shared" si="41"/>
        <v>0</v>
      </c>
      <c r="AO404" s="3">
        <f>SUM(J2:J17)</f>
        <v>718.8</v>
      </c>
      <c r="AP4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1942.7745870000001</v>
      </c>
      <c r="AQ404" s="3" cm="1">
        <f t="array" aca="1" ref="AQ404" ca="1">OFFSET(Table7[[#This Row],[Investment Increase]],0,-1)-SUM($J$2:$J$17*($E$2:$E$17=$Q$31))</f>
        <v>142.77458700000011</v>
      </c>
    </row>
    <row r="405" spans="22:43" x14ac:dyDescent="0.45">
      <c r="V405" s="9">
        <v>44159</v>
      </c>
      <c r="W405" s="3">
        <v>152.08000000000001</v>
      </c>
      <c r="X405" s="2" cm="1">
        <f t="array" ref="X405">SUM($F$2:$F$17*($C$2:$C$17=$Q$2))</f>
        <v>3.8</v>
      </c>
      <c r="Y405" s="3">
        <f t="shared" si="36"/>
        <v>577.904</v>
      </c>
      <c r="Z405" s="3">
        <v>156.13999999999999</v>
      </c>
      <c r="AA405" s="2" cm="1">
        <f t="array" ref="AA405">SUM($F$2:$F$17*($C$2:$C$17=$Q$3))</f>
        <v>2.0491000000000001</v>
      </c>
      <c r="AB405" s="3">
        <f t="shared" si="37"/>
        <v>319.94647399999997</v>
      </c>
      <c r="AC405" s="3">
        <v>16.559999999999999</v>
      </c>
      <c r="AD405" s="2" cm="1">
        <f t="array" ref="AD405">SUM($F$2:$F$17*($C$2:$C$17=$Q$4))</f>
        <v>12.476000000000001</v>
      </c>
      <c r="AE405" s="3">
        <f t="shared" si="38"/>
        <v>206.60256000000001</v>
      </c>
      <c r="AF405" s="3">
        <v>13.1</v>
      </c>
      <c r="AG405" s="2" cm="1">
        <f t="array" ref="AG405">SUM($F$2:$F$17*($C$2:$C$17=$Q$5))</f>
        <v>8.7029999999999994</v>
      </c>
      <c r="AH405" s="3">
        <f t="shared" si="39"/>
        <v>114.0093</v>
      </c>
      <c r="AI405" s="3">
        <v>18.86</v>
      </c>
      <c r="AJ405" s="2" cm="1">
        <f t="array" ref="AJ405">SUM($F$2:$F$17*($C$2:$C$17=$Q$6))</f>
        <v>0</v>
      </c>
      <c r="AK405" s="3">
        <f t="shared" si="40"/>
        <v>0</v>
      </c>
      <c r="AL405" s="3">
        <v>12.86</v>
      </c>
      <c r="AM405" s="2" cm="1">
        <f t="array" ref="AM405">SUM($F$2:$F$17*($C$2:$C$17=$Q$8))</f>
        <v>0</v>
      </c>
      <c r="AN405" s="3">
        <f t="shared" si="41"/>
        <v>0</v>
      </c>
      <c r="AO405" s="3">
        <f>SUM(J2:J17)</f>
        <v>718.8</v>
      </c>
      <c r="AP4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1937.2623339999998</v>
      </c>
      <c r="AQ405" s="3" cm="1">
        <f t="array" aca="1" ref="AQ405" ca="1">OFFSET(Table7[[#This Row],[Investment Increase]],0,-1)-SUM($J$2:$J$17*($E$2:$E$17=$Q$31))</f>
        <v>137.26233399999978</v>
      </c>
    </row>
    <row r="406" spans="22:43" x14ac:dyDescent="0.45">
      <c r="V406" s="9">
        <v>44158</v>
      </c>
      <c r="W406" s="3">
        <v>150.12</v>
      </c>
      <c r="X406" s="2" cm="1">
        <f t="array" ref="X406">SUM($F$2:$F$17*($C$2:$C$17=$Q$2))</f>
        <v>3.8</v>
      </c>
      <c r="Y406" s="3">
        <f t="shared" si="36"/>
        <v>570.45600000000002</v>
      </c>
      <c r="Z406" s="3">
        <v>154.71</v>
      </c>
      <c r="AA406" s="2" cm="1">
        <f t="array" ref="AA406">SUM($F$2:$F$17*($C$2:$C$17=$Q$3))</f>
        <v>2.0491000000000001</v>
      </c>
      <c r="AB406" s="3">
        <f t="shared" si="37"/>
        <v>317.01626100000004</v>
      </c>
      <c r="AC406" s="3">
        <v>16.329999999999998</v>
      </c>
      <c r="AD406" s="2" cm="1">
        <f t="array" ref="AD406">SUM($F$2:$F$17*($C$2:$C$17=$Q$4))</f>
        <v>12.476000000000001</v>
      </c>
      <c r="AE406" s="3">
        <f t="shared" si="38"/>
        <v>203.73308</v>
      </c>
      <c r="AF406" s="3">
        <v>12.89</v>
      </c>
      <c r="AG406" s="2" cm="1">
        <f t="array" ref="AG406">SUM($F$2:$F$17*($C$2:$C$17=$Q$5))</f>
        <v>8.7029999999999994</v>
      </c>
      <c r="AH406" s="3">
        <f t="shared" si="39"/>
        <v>112.18167</v>
      </c>
      <c r="AI406" s="3">
        <v>18.559999999999999</v>
      </c>
      <c r="AJ406" s="2" cm="1">
        <f t="array" ref="AJ406">SUM($F$2:$F$17*($C$2:$C$17=$Q$6))</f>
        <v>0</v>
      </c>
      <c r="AK406" s="3">
        <f t="shared" si="40"/>
        <v>0</v>
      </c>
      <c r="AL406" s="3">
        <v>12.41</v>
      </c>
      <c r="AM406" s="2" cm="1">
        <f t="array" ref="AM406">SUM($F$2:$F$17*($C$2:$C$17=$Q$8))</f>
        <v>0</v>
      </c>
      <c r="AN406" s="3">
        <f t="shared" si="41"/>
        <v>0</v>
      </c>
      <c r="AO406" s="3">
        <f>SUM(J2:J17)</f>
        <v>718.8</v>
      </c>
      <c r="AP4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1922.187011</v>
      </c>
      <c r="AQ406" s="3" cm="1">
        <f t="array" aca="1" ref="AQ406" ca="1">OFFSET(Table7[[#This Row],[Investment Increase]],0,-1)-SUM($J$2:$J$17*($E$2:$E$17=$Q$31))</f>
        <v>122.18701099999998</v>
      </c>
    </row>
    <row r="407" spans="22:43" x14ac:dyDescent="0.45">
      <c r="V407" s="9">
        <v>44155</v>
      </c>
      <c r="W407" s="3">
        <v>149.80000000000001</v>
      </c>
      <c r="X407" s="2" cm="1">
        <f t="array" ref="X407">SUM($F$2:$F$17*($C$2:$C$17=$Q$2))</f>
        <v>3.8</v>
      </c>
      <c r="Y407" s="3">
        <f t="shared" si="36"/>
        <v>569.24</v>
      </c>
      <c r="Z407" s="3">
        <v>153.41</v>
      </c>
      <c r="AA407" s="2" cm="1">
        <f t="array" ref="AA407">SUM($F$2:$F$17*($C$2:$C$17=$Q$3))</f>
        <v>2.0491000000000001</v>
      </c>
      <c r="AB407" s="3">
        <f t="shared" si="37"/>
        <v>314.35243100000002</v>
      </c>
      <c r="AC407" s="3">
        <v>16.260000000000002</v>
      </c>
      <c r="AD407" s="2" cm="1">
        <f t="array" ref="AD407">SUM($F$2:$F$17*($C$2:$C$17=$Q$4))</f>
        <v>12.476000000000001</v>
      </c>
      <c r="AE407" s="3">
        <f t="shared" si="38"/>
        <v>202.85976000000002</v>
      </c>
      <c r="AF407" s="3">
        <v>12.81</v>
      </c>
      <c r="AG407" s="2" cm="1">
        <f t="array" ref="AG407">SUM($F$2:$F$17*($C$2:$C$17=$Q$5))</f>
        <v>8.7029999999999994</v>
      </c>
      <c r="AH407" s="3">
        <f t="shared" si="39"/>
        <v>111.48542999999999</v>
      </c>
      <c r="AI407" s="3">
        <v>18.420000000000002</v>
      </c>
      <c r="AJ407" s="2" cm="1">
        <f t="array" ref="AJ407">SUM($F$2:$F$17*($C$2:$C$17=$Q$6))</f>
        <v>0</v>
      </c>
      <c r="AK407" s="3">
        <f t="shared" si="40"/>
        <v>0</v>
      </c>
      <c r="AL407" s="3">
        <v>12.12</v>
      </c>
      <c r="AM407" s="2" cm="1">
        <f t="array" ref="AM407">SUM($F$2:$F$17*($C$2:$C$17=$Q$8))</f>
        <v>0</v>
      </c>
      <c r="AN407" s="3">
        <f t="shared" si="41"/>
        <v>0</v>
      </c>
      <c r="AO407" s="3">
        <f>SUM(J2:J17)</f>
        <v>718.8</v>
      </c>
      <c r="AP4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1916.737621</v>
      </c>
      <c r="AQ407" s="3" cm="1">
        <f t="array" aca="1" ref="AQ407" ca="1">OFFSET(Table7[[#This Row],[Investment Increase]],0,-1)-SUM($J$2:$J$17*($E$2:$E$17=$Q$31))</f>
        <v>116.73762099999999</v>
      </c>
    </row>
    <row r="408" spans="22:43" x14ac:dyDescent="0.45">
      <c r="V408" s="9">
        <v>44154</v>
      </c>
      <c r="W408" s="3">
        <v>150.43</v>
      </c>
      <c r="X408" s="2" cm="1">
        <f t="array" ref="X408">SUM($F$2:$F$17*($C$2:$C$17=$Q$2))</f>
        <v>3.8</v>
      </c>
      <c r="Y408" s="3">
        <f t="shared" si="36"/>
        <v>571.63400000000001</v>
      </c>
      <c r="Z408" s="3">
        <v>153.96</v>
      </c>
      <c r="AA408" s="2" cm="1">
        <f t="array" ref="AA408">SUM($F$2:$F$17*($C$2:$C$17=$Q$3))</f>
        <v>2.0491000000000001</v>
      </c>
      <c r="AB408" s="3">
        <f t="shared" si="37"/>
        <v>315.47943600000002</v>
      </c>
      <c r="AC408" s="3">
        <v>16.39</v>
      </c>
      <c r="AD408" s="2" cm="1">
        <f t="array" ref="AD408">SUM($F$2:$F$17*($C$2:$C$17=$Q$4))</f>
        <v>12.476000000000001</v>
      </c>
      <c r="AE408" s="3">
        <f t="shared" si="38"/>
        <v>204.48164000000003</v>
      </c>
      <c r="AF408" s="3">
        <v>12.9</v>
      </c>
      <c r="AG408" s="2" cm="1">
        <f t="array" ref="AG408">SUM($F$2:$F$17*($C$2:$C$17=$Q$5))</f>
        <v>8.7029999999999994</v>
      </c>
      <c r="AH408" s="3">
        <f t="shared" si="39"/>
        <v>112.2687</v>
      </c>
      <c r="AI408" s="3">
        <v>18.559999999999999</v>
      </c>
      <c r="AJ408" s="2" cm="1">
        <f t="array" ref="AJ408">SUM($F$2:$F$17*($C$2:$C$17=$Q$6))</f>
        <v>0</v>
      </c>
      <c r="AK408" s="3">
        <f t="shared" si="40"/>
        <v>0</v>
      </c>
      <c r="AL408" s="3">
        <v>12.08</v>
      </c>
      <c r="AM408" s="2" cm="1">
        <f t="array" ref="AM408">SUM($F$2:$F$17*($C$2:$C$17=$Q$8))</f>
        <v>0</v>
      </c>
      <c r="AN408" s="3">
        <f t="shared" si="41"/>
        <v>0</v>
      </c>
      <c r="AO408" s="3">
        <f>SUM(J2:J17)</f>
        <v>718.8</v>
      </c>
      <c r="AP4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1922.6637760000001</v>
      </c>
      <c r="AQ408" s="3" cm="1">
        <f t="array" aca="1" ref="AQ408" ca="1">OFFSET(Table7[[#This Row],[Investment Increase]],0,-1)-SUM($J$2:$J$17*($E$2:$E$17=$Q$31))</f>
        <v>122.6637760000001</v>
      </c>
    </row>
    <row r="409" spans="22:43" x14ac:dyDescent="0.45">
      <c r="V409" s="9">
        <v>44153</v>
      </c>
      <c r="W409" s="3">
        <v>149.12</v>
      </c>
      <c r="X409" s="2" cm="1">
        <f t="array" ref="X409">SUM($F$2:$F$17*($C$2:$C$17=$Q$2))</f>
        <v>3.8</v>
      </c>
      <c r="Y409" s="3">
        <f t="shared" si="36"/>
        <v>566.65599999999995</v>
      </c>
      <c r="Z409" s="3">
        <v>152.06</v>
      </c>
      <c r="AA409" s="2" cm="1">
        <f t="array" ref="AA409">SUM($F$2:$F$17*($C$2:$C$17=$Q$3))</f>
        <v>2.0491000000000001</v>
      </c>
      <c r="AB409" s="3">
        <f t="shared" si="37"/>
        <v>311.58614600000004</v>
      </c>
      <c r="AC409" s="3">
        <v>16.27</v>
      </c>
      <c r="AD409" s="2" cm="1">
        <f t="array" ref="AD409">SUM($F$2:$F$17*($C$2:$C$17=$Q$4))</f>
        <v>12.476000000000001</v>
      </c>
      <c r="AE409" s="3">
        <f t="shared" si="38"/>
        <v>202.98452</v>
      </c>
      <c r="AF409" s="3">
        <v>12.84</v>
      </c>
      <c r="AG409" s="2" cm="1">
        <f t="array" ref="AG409">SUM($F$2:$F$17*($C$2:$C$17=$Q$5))</f>
        <v>8.7029999999999994</v>
      </c>
      <c r="AH409" s="3">
        <f t="shared" si="39"/>
        <v>111.74651999999999</v>
      </c>
      <c r="AI409" s="3">
        <v>18.48</v>
      </c>
      <c r="AJ409" s="2" cm="1">
        <f t="array" ref="AJ409">SUM($F$2:$F$17*($C$2:$C$17=$Q$6))</f>
        <v>0</v>
      </c>
      <c r="AK409" s="3">
        <f t="shared" si="40"/>
        <v>0</v>
      </c>
      <c r="AL409" s="3">
        <v>12.07</v>
      </c>
      <c r="AM409" s="2" cm="1">
        <f t="array" ref="AM409">SUM($F$2:$F$17*($C$2:$C$17=$Q$8))</f>
        <v>0</v>
      </c>
      <c r="AN409" s="3">
        <f t="shared" si="41"/>
        <v>0</v>
      </c>
      <c r="AO409" s="3">
        <f>SUM(J2:J17)</f>
        <v>718.8</v>
      </c>
      <c r="AP4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1911.7731859999999</v>
      </c>
      <c r="AQ409" s="3" cm="1">
        <f t="array" aca="1" ref="AQ409" ca="1">OFFSET(Table7[[#This Row],[Investment Increase]],0,-1)-SUM($J$2:$J$17*($E$2:$E$17=$Q$31))</f>
        <v>111.7731859999999</v>
      </c>
    </row>
    <row r="410" spans="22:43" x14ac:dyDescent="0.45">
      <c r="V410" s="9">
        <v>44152</v>
      </c>
      <c r="W410" s="3">
        <v>150.32</v>
      </c>
      <c r="X410" s="2" cm="1">
        <f t="array" ref="X410">SUM($F$2:$F$17*($C$2:$C$17=$Q$2))</f>
        <v>3.8</v>
      </c>
      <c r="Y410" s="3">
        <f t="shared" si="36"/>
        <v>571.21599999999989</v>
      </c>
      <c r="Z410" s="3">
        <v>152.77000000000001</v>
      </c>
      <c r="AA410" s="2" cm="1">
        <f t="array" ref="AA410">SUM($F$2:$F$17*($C$2:$C$17=$Q$3))</f>
        <v>2.0491000000000001</v>
      </c>
      <c r="AB410" s="3">
        <f t="shared" si="37"/>
        <v>313.04100700000004</v>
      </c>
      <c r="AC410" s="3">
        <v>16.38</v>
      </c>
      <c r="AD410" s="2" cm="1">
        <f t="array" ref="AD410">SUM($F$2:$F$17*($C$2:$C$17=$Q$4))</f>
        <v>12.476000000000001</v>
      </c>
      <c r="AE410" s="3">
        <f t="shared" si="38"/>
        <v>204.35687999999999</v>
      </c>
      <c r="AF410" s="3">
        <v>12.97</v>
      </c>
      <c r="AG410" s="2" cm="1">
        <f t="array" ref="AG410">SUM($F$2:$F$17*($C$2:$C$17=$Q$5))</f>
        <v>8.7029999999999994</v>
      </c>
      <c r="AH410" s="3">
        <f t="shared" si="39"/>
        <v>112.87791</v>
      </c>
      <c r="AI410" s="3">
        <v>18.690000000000001</v>
      </c>
      <c r="AJ410" s="2" cm="1">
        <f t="array" ref="AJ410">SUM($F$2:$F$17*($C$2:$C$17=$Q$6))</f>
        <v>0</v>
      </c>
      <c r="AK410" s="3">
        <f t="shared" si="40"/>
        <v>0</v>
      </c>
      <c r="AL410" s="3">
        <v>12.22</v>
      </c>
      <c r="AM410" s="2" cm="1">
        <f t="array" ref="AM410">SUM($F$2:$F$17*($C$2:$C$17=$Q$8))</f>
        <v>0</v>
      </c>
      <c r="AN410" s="3">
        <f t="shared" si="41"/>
        <v>0</v>
      </c>
      <c r="AO410" s="3">
        <f>SUM(J2:J17)</f>
        <v>718.8</v>
      </c>
      <c r="AP4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1920.2917969999999</v>
      </c>
      <c r="AQ410" s="3" cm="1">
        <f t="array" aca="1" ref="AQ410" ca="1">OFFSET(Table7[[#This Row],[Investment Increase]],0,-1)-SUM($J$2:$J$17*($E$2:$E$17=$Q$31))</f>
        <v>120.29179699999986</v>
      </c>
    </row>
    <row r="411" spans="22:43" x14ac:dyDescent="0.45">
      <c r="V411" s="9">
        <v>44151</v>
      </c>
      <c r="W411" s="3">
        <v>150.63999999999999</v>
      </c>
      <c r="X411" s="2" cm="1">
        <f t="array" ref="X411">SUM($F$2:$F$17*($C$2:$C$17=$Q$2))</f>
        <v>3.8</v>
      </c>
      <c r="Y411" s="3">
        <f t="shared" si="36"/>
        <v>572.4319999999999</v>
      </c>
      <c r="Z411" s="3">
        <v>152.5</v>
      </c>
      <c r="AA411" s="2" cm="1">
        <f t="array" ref="AA411">SUM($F$2:$F$17*($C$2:$C$17=$Q$3))</f>
        <v>2.0491000000000001</v>
      </c>
      <c r="AB411" s="3">
        <f t="shared" si="37"/>
        <v>312.48775000000001</v>
      </c>
      <c r="AC411" s="3">
        <v>16.43</v>
      </c>
      <c r="AD411" s="2" cm="1">
        <f t="array" ref="AD411">SUM($F$2:$F$17*($C$2:$C$17=$Q$4))</f>
        <v>12.476000000000001</v>
      </c>
      <c r="AE411" s="3">
        <f t="shared" si="38"/>
        <v>204.98068000000001</v>
      </c>
      <c r="AF411" s="3">
        <v>13.01</v>
      </c>
      <c r="AG411" s="2" cm="1">
        <f t="array" ref="AG411">SUM($F$2:$F$17*($C$2:$C$17=$Q$5))</f>
        <v>8.7029999999999994</v>
      </c>
      <c r="AH411" s="3">
        <f t="shared" si="39"/>
        <v>113.22602999999999</v>
      </c>
      <c r="AI411" s="3">
        <v>18.760000000000002</v>
      </c>
      <c r="AJ411" s="2" cm="1">
        <f t="array" ref="AJ411">SUM($F$2:$F$17*($C$2:$C$17=$Q$6))</f>
        <v>0</v>
      </c>
      <c r="AK411" s="3">
        <f t="shared" si="40"/>
        <v>0</v>
      </c>
      <c r="AL411" s="3">
        <v>12.19</v>
      </c>
      <c r="AM411" s="2" cm="1">
        <f t="array" ref="AM411">SUM($F$2:$F$17*($C$2:$C$17=$Q$8))</f>
        <v>0</v>
      </c>
      <c r="AN411" s="3">
        <f t="shared" si="41"/>
        <v>0</v>
      </c>
      <c r="AO411" s="3">
        <f>SUM(J2:J17)</f>
        <v>718.8</v>
      </c>
      <c r="AP4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1921.9264599999999</v>
      </c>
      <c r="AQ411" s="3" cm="1">
        <f t="array" aca="1" ref="AQ411" ca="1">OFFSET(Table7[[#This Row],[Investment Increase]],0,-1)-SUM($J$2:$J$17*($E$2:$E$17=$Q$31))</f>
        <v>121.92645999999991</v>
      </c>
    </row>
    <row r="412" spans="22:43" x14ac:dyDescent="0.45">
      <c r="V412" s="9">
        <v>44148</v>
      </c>
      <c r="W412" s="3">
        <v>149.44</v>
      </c>
      <c r="X412" s="2" cm="1">
        <f t="array" ref="X412">SUM($F$2:$F$17*($C$2:$C$17=$Q$2))</f>
        <v>3.8</v>
      </c>
      <c r="Y412" s="3">
        <f t="shared" si="36"/>
        <v>567.87199999999996</v>
      </c>
      <c r="Z412" s="3">
        <v>151.44</v>
      </c>
      <c r="AA412" s="2" cm="1">
        <f t="array" ref="AA412">SUM($F$2:$F$17*($C$2:$C$17=$Q$3))</f>
        <v>2.0491000000000001</v>
      </c>
      <c r="AB412" s="3">
        <f t="shared" si="37"/>
        <v>310.31570400000004</v>
      </c>
      <c r="AC412" s="3">
        <v>16.3</v>
      </c>
      <c r="AD412" s="2" cm="1">
        <f t="array" ref="AD412">SUM($F$2:$F$17*($C$2:$C$17=$Q$4))</f>
        <v>12.476000000000001</v>
      </c>
      <c r="AE412" s="3">
        <f t="shared" si="38"/>
        <v>203.35880000000003</v>
      </c>
      <c r="AF412" s="3">
        <v>12.87</v>
      </c>
      <c r="AG412" s="2" cm="1">
        <f t="array" ref="AG412">SUM($F$2:$F$17*($C$2:$C$17=$Q$5))</f>
        <v>8.7029999999999994</v>
      </c>
      <c r="AH412" s="3">
        <f t="shared" si="39"/>
        <v>112.00760999999999</v>
      </c>
      <c r="AI412" s="3">
        <v>18.52</v>
      </c>
      <c r="AJ412" s="2" cm="1">
        <f t="array" ref="AJ412">SUM($F$2:$F$17*($C$2:$C$17=$Q$6))</f>
        <v>0</v>
      </c>
      <c r="AK412" s="3">
        <f t="shared" si="40"/>
        <v>0</v>
      </c>
      <c r="AL412" s="3">
        <v>11.87</v>
      </c>
      <c r="AM412" s="2" cm="1">
        <f t="array" ref="AM412">SUM($F$2:$F$17*($C$2:$C$17=$Q$8))</f>
        <v>0</v>
      </c>
      <c r="AN412" s="3">
        <f t="shared" si="41"/>
        <v>0</v>
      </c>
      <c r="AO412" s="3">
        <f>SUM(J2:J17)</f>
        <v>718.8</v>
      </c>
      <c r="AP4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1912.3541139999998</v>
      </c>
      <c r="AQ412" s="3" cm="1">
        <f t="array" aca="1" ref="AQ412" ca="1">OFFSET(Table7[[#This Row],[Investment Increase]],0,-1)-SUM($J$2:$J$17*($E$2:$E$17=$Q$31))</f>
        <v>112.35411399999975</v>
      </c>
    </row>
    <row r="413" spans="22:43" x14ac:dyDescent="0.45">
      <c r="V413" s="9">
        <v>44147</v>
      </c>
      <c r="W413" s="3">
        <v>147.91999999999999</v>
      </c>
      <c r="X413" s="2" cm="1">
        <f t="array" ref="X413">SUM($F$2:$F$17*($C$2:$C$17=$Q$2))</f>
        <v>3.8</v>
      </c>
      <c r="Y413" s="3">
        <f t="shared" si="36"/>
        <v>562.09599999999989</v>
      </c>
      <c r="Z413" s="3">
        <v>150.19999999999999</v>
      </c>
      <c r="AA413" s="2" cm="1">
        <f t="array" ref="AA413">SUM($F$2:$F$17*($C$2:$C$17=$Q$3))</f>
        <v>2.0491000000000001</v>
      </c>
      <c r="AB413" s="3">
        <f t="shared" si="37"/>
        <v>307.77481999999998</v>
      </c>
      <c r="AC413" s="3">
        <v>16.12</v>
      </c>
      <c r="AD413" s="2" cm="1">
        <f t="array" ref="AD413">SUM($F$2:$F$17*($C$2:$C$17=$Q$4))</f>
        <v>12.476000000000001</v>
      </c>
      <c r="AE413" s="3">
        <f t="shared" si="38"/>
        <v>201.11312000000004</v>
      </c>
      <c r="AF413" s="3">
        <v>12.7</v>
      </c>
      <c r="AG413" s="2" cm="1">
        <f t="array" ref="AG413">SUM($F$2:$F$17*($C$2:$C$17=$Q$5))</f>
        <v>8.7029999999999994</v>
      </c>
      <c r="AH413" s="3">
        <f t="shared" si="39"/>
        <v>110.52809999999998</v>
      </c>
      <c r="AI413" s="3">
        <v>18.260000000000002</v>
      </c>
      <c r="AJ413" s="2" cm="1">
        <f t="array" ref="AJ413">SUM($F$2:$F$17*($C$2:$C$17=$Q$6))</f>
        <v>0</v>
      </c>
      <c r="AK413" s="3">
        <f t="shared" si="40"/>
        <v>0</v>
      </c>
      <c r="AL413" s="3">
        <v>11.64</v>
      </c>
      <c r="AM413" s="2" cm="1">
        <f t="array" ref="AM413">SUM($F$2:$F$17*($C$2:$C$17=$Q$8))</f>
        <v>0</v>
      </c>
      <c r="AN413" s="3">
        <f t="shared" si="41"/>
        <v>0</v>
      </c>
      <c r="AO413" s="3">
        <f>SUM(J2:J17)</f>
        <v>718.8</v>
      </c>
      <c r="AP4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1900.3120399999998</v>
      </c>
      <c r="AQ413" s="3" cm="1">
        <f t="array" aca="1" ref="AQ413" ca="1">OFFSET(Table7[[#This Row],[Investment Increase]],0,-1)-SUM($J$2:$J$17*($E$2:$E$17=$Q$31))</f>
        <v>100.3120399999998</v>
      </c>
    </row>
    <row r="414" spans="22:43" x14ac:dyDescent="0.45">
      <c r="V414" s="9">
        <v>44146</v>
      </c>
      <c r="W414" s="3">
        <v>148.9</v>
      </c>
      <c r="X414" s="2" cm="1">
        <f t="array" ref="X414">SUM($F$2:$F$14*($C$2:$C$14=$Q$2))</f>
        <v>0.44199999999999995</v>
      </c>
      <c r="Y414" s="3">
        <f t="shared" si="36"/>
        <v>65.813800000000001</v>
      </c>
      <c r="Z414" s="3">
        <v>150.69999999999999</v>
      </c>
      <c r="AA414" s="2" cm="1">
        <f t="array" ref="AA414">SUM($F$2:$F$14*($C$2:$C$14=$Q$3))</f>
        <v>0.72209999999999996</v>
      </c>
      <c r="AB414" s="3">
        <f t="shared" si="37"/>
        <v>108.82046999999999</v>
      </c>
      <c r="AC414" s="3">
        <v>16.239999999999998</v>
      </c>
      <c r="AD414" s="2" cm="1">
        <f t="array" ref="AD414">SUM($F$2:$F$14*($C$2:$C$14=$Q$4))</f>
        <v>0.16100000000000136</v>
      </c>
      <c r="AE414" s="3">
        <f t="shared" si="38"/>
        <v>2.6146400000000218</v>
      </c>
      <c r="AF414" s="3">
        <v>12.82</v>
      </c>
      <c r="AG414" s="2" cm="1">
        <f t="array" ref="AG414">SUM($F$2:$F$14*($C$2:$C$14=$Q$5))</f>
        <v>8.7029999999999994</v>
      </c>
      <c r="AH414" s="3">
        <f t="shared" si="39"/>
        <v>111.57245999999999</v>
      </c>
      <c r="AI414" s="3">
        <v>18.43</v>
      </c>
      <c r="AJ414" s="2" cm="1">
        <f t="array" ref="AJ414">SUM($F$2:$F$14*($C$2:$C$14=$Q$6))</f>
        <v>0</v>
      </c>
      <c r="AK414" s="3">
        <f t="shared" si="40"/>
        <v>0</v>
      </c>
      <c r="AL414" s="3">
        <v>11.88</v>
      </c>
      <c r="AM414" s="2" cm="1">
        <f t="array" ref="AM414">SUM($F$2:$F$14*($C$2:$C$14=$Q$8))</f>
        <v>0</v>
      </c>
      <c r="AN414" s="3">
        <f t="shared" si="41"/>
        <v>0</v>
      </c>
      <c r="AO414" s="3">
        <f>SUM(J2:J14)</f>
        <v>1568.8</v>
      </c>
      <c r="AP4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1857.6213699999998</v>
      </c>
      <c r="AQ414" s="3" cm="1">
        <f t="array" aca="1" ref="AQ414" ca="1">OFFSET(Table7[[#This Row],[Investment Increase]],0,-1)-SUM($J$2:$J$14*($E$2:$E$14=$Q$31))</f>
        <v>57.621369999999843</v>
      </c>
    </row>
    <row r="415" spans="22:43" x14ac:dyDescent="0.45">
      <c r="V415" s="9">
        <v>44145</v>
      </c>
      <c r="W415" s="3">
        <v>145.96</v>
      </c>
      <c r="X415" s="2" cm="1">
        <f t="array" ref="X415">SUM($F$2:$F$14*($C$2:$C$14=$Q$2))</f>
        <v>0.44199999999999995</v>
      </c>
      <c r="Y415" s="3">
        <f t="shared" si="36"/>
        <v>64.514319999999998</v>
      </c>
      <c r="Z415" s="3">
        <v>147.25</v>
      </c>
      <c r="AA415" s="2" cm="1">
        <f t="array" ref="AA415">SUM($F$2:$F$14*($C$2:$C$14=$Q$3))</f>
        <v>0.72209999999999996</v>
      </c>
      <c r="AB415" s="3">
        <f t="shared" si="37"/>
        <v>106.32922499999999</v>
      </c>
      <c r="AC415" s="3">
        <v>15.95</v>
      </c>
      <c r="AD415" s="2" cm="1">
        <f t="array" ref="AD415">SUM($F$2:$F$14*($C$2:$C$14=$Q$4))</f>
        <v>0.16100000000000136</v>
      </c>
      <c r="AE415" s="3">
        <f t="shared" si="38"/>
        <v>2.5679500000000215</v>
      </c>
      <c r="AF415" s="3">
        <v>12.72</v>
      </c>
      <c r="AG415" s="2" cm="1">
        <f t="array" ref="AG415">SUM($F$2:$F$14*($C$2:$C$14=$Q$5))</f>
        <v>8.7029999999999994</v>
      </c>
      <c r="AH415" s="3">
        <f t="shared" si="39"/>
        <v>110.70215999999999</v>
      </c>
      <c r="AI415" s="3">
        <v>18.27</v>
      </c>
      <c r="AJ415" s="2" cm="1">
        <f t="array" ref="AJ415">SUM($F$2:$F$14*($C$2:$C$14=$Q$6))</f>
        <v>0</v>
      </c>
      <c r="AK415" s="3">
        <f t="shared" si="40"/>
        <v>0</v>
      </c>
      <c r="AL415" s="3">
        <v>11.89</v>
      </c>
      <c r="AM415" s="2" cm="1">
        <f t="array" ref="AM415">SUM($F$2:$F$14*($C$2:$C$14=$Q$8))</f>
        <v>0</v>
      </c>
      <c r="AN415" s="3">
        <f t="shared" si="41"/>
        <v>0</v>
      </c>
      <c r="AO415" s="3">
        <f>SUM(J2:J14)</f>
        <v>1568.8</v>
      </c>
      <c r="AP4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1852.9136549999998</v>
      </c>
      <c r="AQ415" s="3" cm="1">
        <f t="array" aca="1" ref="AQ415" ca="1">OFFSET(Table7[[#This Row],[Investment Increase]],0,-1)-SUM($J$2:$J$14*($E$2:$E$14=$Q$31))</f>
        <v>52.913654999999835</v>
      </c>
    </row>
    <row r="416" spans="22:43" x14ac:dyDescent="0.45">
      <c r="V416" s="9">
        <v>44144</v>
      </c>
      <c r="W416" s="3">
        <v>147.96</v>
      </c>
      <c r="X416" s="2" cm="1">
        <f t="array" ref="X416">SUM($F$2:$F$14*($C$2:$C$14=$Q$2))</f>
        <v>0.44199999999999995</v>
      </c>
      <c r="Y416" s="3">
        <f t="shared" si="36"/>
        <v>65.398319999999998</v>
      </c>
      <c r="Z416" s="3">
        <v>150.52000000000001</v>
      </c>
      <c r="AA416" s="2" cm="1">
        <f t="array" ref="AA416">SUM($F$2:$F$14*($C$2:$C$14=$Q$3))</f>
        <v>0.72209999999999996</v>
      </c>
      <c r="AB416" s="3">
        <f t="shared" si="37"/>
        <v>108.69049200000001</v>
      </c>
      <c r="AC416" s="3">
        <v>16.28</v>
      </c>
      <c r="AD416" s="2" cm="1">
        <f t="array" ref="AD416">SUM($F$2:$F$14*($C$2:$C$14=$Q$4))</f>
        <v>0.16100000000000136</v>
      </c>
      <c r="AE416" s="3">
        <f t="shared" si="38"/>
        <v>2.6210800000000223</v>
      </c>
      <c r="AF416" s="3">
        <v>12.74</v>
      </c>
      <c r="AG416" s="2" cm="1">
        <f t="array" ref="AG416">SUM($F$2:$F$14*($C$2:$C$14=$Q$5))</f>
        <v>8.7029999999999994</v>
      </c>
      <c r="AH416" s="3">
        <f t="shared" si="39"/>
        <v>110.87621999999999</v>
      </c>
      <c r="AI416" s="3">
        <v>18.28</v>
      </c>
      <c r="AJ416" s="2" cm="1">
        <f t="array" ref="AJ416">SUM($F$2:$F$14*($C$2:$C$14=$Q$6))</f>
        <v>0</v>
      </c>
      <c r="AK416" s="3">
        <f t="shared" si="40"/>
        <v>0</v>
      </c>
      <c r="AL416" s="3">
        <v>11.7</v>
      </c>
      <c r="AM416" s="2" cm="1">
        <f t="array" ref="AM416">SUM($F$2:$F$14*($C$2:$C$14=$Q$8))</f>
        <v>0</v>
      </c>
      <c r="AN416" s="3">
        <f t="shared" si="41"/>
        <v>0</v>
      </c>
      <c r="AO416" s="3">
        <f>SUM(J2:J14)</f>
        <v>1568.8</v>
      </c>
      <c r="AP4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1856.3861120000001</v>
      </c>
      <c r="AQ416" s="3" cm="1">
        <f t="array" aca="1" ref="AQ416" ca="1">OFFSET(Table7[[#This Row],[Investment Increase]],0,-1)-SUM($J$2:$J$14*($E$2:$E$14=$Q$31))</f>
        <v>56.386112000000139</v>
      </c>
    </row>
    <row r="417" spans="22:43" x14ac:dyDescent="0.45">
      <c r="V417" s="9">
        <v>44141</v>
      </c>
      <c r="W417" s="3">
        <v>150.18</v>
      </c>
      <c r="X417" s="2" cm="1">
        <f t="array" ref="X417">SUM($F$2:$F$14*($C$2:$C$14=$Q$2))</f>
        <v>0.44199999999999995</v>
      </c>
      <c r="Y417" s="3">
        <f t="shared" si="36"/>
        <v>66.379559999999998</v>
      </c>
      <c r="Z417" s="3">
        <v>154.6</v>
      </c>
      <c r="AA417" s="2" cm="1">
        <f t="array" ref="AA417">SUM($F$2:$F$14*($C$2:$C$14=$Q$3))</f>
        <v>0.72209999999999996</v>
      </c>
      <c r="AB417" s="3">
        <f t="shared" si="37"/>
        <v>111.63665999999999</v>
      </c>
      <c r="AC417" s="3">
        <v>16.47</v>
      </c>
      <c r="AD417" s="2" cm="1">
        <f t="array" ref="AD417">SUM($F$2:$F$14*($C$2:$C$14=$Q$4))</f>
        <v>0.16100000000000136</v>
      </c>
      <c r="AE417" s="3">
        <f t="shared" si="38"/>
        <v>2.6516700000000224</v>
      </c>
      <c r="AF417" s="3">
        <v>12.62</v>
      </c>
      <c r="AG417" s="2" cm="1">
        <f t="array" ref="AG417">SUM($F$2:$F$14*($C$2:$C$14=$Q$5))</f>
        <v>8.7029999999999994</v>
      </c>
      <c r="AH417" s="3">
        <f t="shared" si="39"/>
        <v>109.83185999999999</v>
      </c>
      <c r="AI417" s="3">
        <v>18.13</v>
      </c>
      <c r="AJ417" s="2" cm="1">
        <f t="array" ref="AJ417">SUM($F$2:$F$14*($C$2:$C$14=$Q$6))</f>
        <v>0</v>
      </c>
      <c r="AK417" s="3">
        <f t="shared" si="40"/>
        <v>0</v>
      </c>
      <c r="AL417" s="3">
        <v>11.36</v>
      </c>
      <c r="AM417" s="2" cm="1">
        <f t="array" ref="AM417">SUM($F$2:$F$14*($C$2:$C$14=$Q$8))</f>
        <v>0</v>
      </c>
      <c r="AN417" s="3">
        <f t="shared" si="41"/>
        <v>0</v>
      </c>
      <c r="AO417" s="3">
        <f>SUM(J2:J14)</f>
        <v>1568.8</v>
      </c>
      <c r="AP4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1859.2997499999999</v>
      </c>
      <c r="AQ417" s="3" cm="1">
        <f t="array" aca="1" ref="AQ417" ca="1">OFFSET(Table7[[#This Row],[Investment Increase]],0,-1)-SUM($J$2:$J$14*($E$2:$E$14=$Q$31))</f>
        <v>59.299749999999904</v>
      </c>
    </row>
    <row r="418" spans="22:43" x14ac:dyDescent="0.45">
      <c r="V418" s="9">
        <v>44140</v>
      </c>
      <c r="W418" s="3">
        <v>150.16999999999999</v>
      </c>
      <c r="X418" s="2" cm="1">
        <f t="array" ref="X418">SUM($F$2:$F$14*($C$2:$C$14=$Q$2))</f>
        <v>0.44199999999999995</v>
      </c>
      <c r="Y418" s="3">
        <f t="shared" si="36"/>
        <v>66.375139999999988</v>
      </c>
      <c r="Z418" s="3">
        <v>153.66</v>
      </c>
      <c r="AA418" s="2" cm="1">
        <f t="array" ref="AA418">SUM($F$2:$F$14*($C$2:$C$14=$Q$3))</f>
        <v>0.72209999999999996</v>
      </c>
      <c r="AB418" s="3">
        <f t="shared" si="37"/>
        <v>110.95788599999999</v>
      </c>
      <c r="AC418" s="3">
        <v>16.46</v>
      </c>
      <c r="AD418" s="2" cm="1">
        <f t="array" ref="AD418">SUM($F$2:$F$14*($C$2:$C$14=$Q$4))</f>
        <v>0.16100000000000136</v>
      </c>
      <c r="AE418" s="3">
        <f t="shared" si="38"/>
        <v>2.6500600000000225</v>
      </c>
      <c r="AF418" s="3">
        <v>12.62</v>
      </c>
      <c r="AG418" s="2" cm="1">
        <f t="array" ref="AG418">SUM($F$2:$F$14*($C$2:$C$14=$Q$5))</f>
        <v>8.7029999999999994</v>
      </c>
      <c r="AH418" s="3">
        <f t="shared" si="39"/>
        <v>109.83185999999999</v>
      </c>
      <c r="AI418" s="3">
        <v>18.18</v>
      </c>
      <c r="AJ418" s="2" cm="1">
        <f t="array" ref="AJ418">SUM($F$2:$F$14*($C$2:$C$14=$Q$6))</f>
        <v>0</v>
      </c>
      <c r="AK418" s="3">
        <f t="shared" si="40"/>
        <v>0</v>
      </c>
      <c r="AL418" s="3">
        <v>11.29</v>
      </c>
      <c r="AM418" s="2" cm="1">
        <f t="array" ref="AM418">SUM($F$2:$F$14*($C$2:$C$14=$Q$8))</f>
        <v>0</v>
      </c>
      <c r="AN418" s="3">
        <f t="shared" si="41"/>
        <v>0</v>
      </c>
      <c r="AO418" s="3">
        <f>SUM(J2:J14)</f>
        <v>1568.8</v>
      </c>
      <c r="AP4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1858.6149459999999</v>
      </c>
      <c r="AQ418" s="3" cm="1">
        <f t="array" aca="1" ref="AQ418" ca="1">OFFSET(Table7[[#This Row],[Investment Increase]],0,-1)-SUM($J$2:$J$14*($E$2:$E$14=$Q$31))</f>
        <v>58.614945999999918</v>
      </c>
    </row>
    <row r="419" spans="22:43" x14ac:dyDescent="0.45">
      <c r="V419" s="9">
        <v>44139</v>
      </c>
      <c r="W419" s="3">
        <v>146.36000000000001</v>
      </c>
      <c r="X419" s="2" cm="1">
        <f t="array" ref="X419">SUM($F$2:$F$14*($C$2:$C$14=$Q$2))</f>
        <v>0.44199999999999995</v>
      </c>
      <c r="Y419" s="3">
        <f t="shared" si="36"/>
        <v>64.691119999999998</v>
      </c>
      <c r="Z419" s="3">
        <v>149.32</v>
      </c>
      <c r="AA419" s="2" cm="1">
        <f t="array" ref="AA419">SUM($F$2:$F$14*($C$2:$C$14=$Q$3))</f>
        <v>0.72209999999999996</v>
      </c>
      <c r="AB419" s="3">
        <f t="shared" si="37"/>
        <v>107.82397199999998</v>
      </c>
      <c r="AC419" s="3">
        <v>16.05</v>
      </c>
      <c r="AD419" s="2" cm="1">
        <f t="array" ref="AD419">SUM($F$2:$F$14*($C$2:$C$14=$Q$4))</f>
        <v>0.16100000000000136</v>
      </c>
      <c r="AE419" s="3">
        <f t="shared" si="38"/>
        <v>2.5840500000000222</v>
      </c>
      <c r="AF419" s="3">
        <v>12.37</v>
      </c>
      <c r="AG419" s="2" cm="1">
        <f t="array" ref="AG419">SUM($F$2:$F$14*($C$2:$C$14=$Q$5))</f>
        <v>8.7029999999999994</v>
      </c>
      <c r="AH419" s="3">
        <f t="shared" si="39"/>
        <v>107.65610999999998</v>
      </c>
      <c r="AI419" s="3">
        <v>17.809999999999999</v>
      </c>
      <c r="AJ419" s="2" cm="1">
        <f t="array" ref="AJ419">SUM($F$2:$F$14*($C$2:$C$14=$Q$6))</f>
        <v>0</v>
      </c>
      <c r="AK419" s="3">
        <f t="shared" si="40"/>
        <v>0</v>
      </c>
      <c r="AL419" s="3">
        <v>11.01</v>
      </c>
      <c r="AM419" s="2" cm="1">
        <f t="array" ref="AM419">SUM($F$2:$F$14*($C$2:$C$14=$Q$8))</f>
        <v>0</v>
      </c>
      <c r="AN419" s="3">
        <f t="shared" si="41"/>
        <v>0</v>
      </c>
      <c r="AO419" s="3">
        <f>SUM(J2:J14)</f>
        <v>1568.8</v>
      </c>
      <c r="AP4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1851.5552519999999</v>
      </c>
      <c r="AQ419" s="3" cm="1">
        <f t="array" aca="1" ref="AQ419" ca="1">OFFSET(Table7[[#This Row],[Investment Increase]],0,-1)-SUM($J$2:$J$14*($E$2:$E$14=$Q$31))</f>
        <v>51.555251999999882</v>
      </c>
    </row>
    <row r="420" spans="22:43" x14ac:dyDescent="0.45">
      <c r="V420" s="9">
        <v>44138</v>
      </c>
      <c r="W420" s="3">
        <v>140.91999999999999</v>
      </c>
      <c r="X420" s="2" cm="1">
        <f t="array" ref="X420">SUM($F$2:$F$14*($C$2:$C$14=$Q$2))</f>
        <v>0.44199999999999995</v>
      </c>
      <c r="Y420" s="3">
        <f t="shared" si="36"/>
        <v>62.286639999999984</v>
      </c>
      <c r="Z420" s="3">
        <v>142.69999999999999</v>
      </c>
      <c r="AA420" s="2" cm="1">
        <f t="array" ref="AA420">SUM($F$2:$F$14*($C$2:$C$14=$Q$3))</f>
        <v>0.72209999999999996</v>
      </c>
      <c r="AB420" s="3">
        <f t="shared" si="37"/>
        <v>103.04366999999999</v>
      </c>
      <c r="AC420" s="3">
        <v>15.37</v>
      </c>
      <c r="AD420" s="2" cm="1">
        <f t="array" ref="AD420">SUM($F$2:$F$14*($C$2:$C$14=$Q$4))</f>
        <v>0.16100000000000136</v>
      </c>
      <c r="AE420" s="3">
        <f t="shared" si="38"/>
        <v>2.4745700000000208</v>
      </c>
      <c r="AF420" s="3">
        <v>12.09</v>
      </c>
      <c r="AG420" s="2" cm="1">
        <f t="array" ref="AG420">SUM($F$2:$F$14*($C$2:$C$14=$Q$5))</f>
        <v>8.7029999999999994</v>
      </c>
      <c r="AH420" s="3">
        <f t="shared" si="39"/>
        <v>105.21926999999999</v>
      </c>
      <c r="AI420" s="3">
        <v>17.36</v>
      </c>
      <c r="AJ420" s="2" cm="1">
        <f t="array" ref="AJ420">SUM($F$2:$F$14*($C$2:$C$14=$Q$6))</f>
        <v>0</v>
      </c>
      <c r="AK420" s="3">
        <f t="shared" si="40"/>
        <v>0</v>
      </c>
      <c r="AL420" s="3">
        <v>11.14</v>
      </c>
      <c r="AM420" s="2" cm="1">
        <f t="array" ref="AM420">SUM($F$2:$F$14*($C$2:$C$14=$Q$8))</f>
        <v>0</v>
      </c>
      <c r="AN420" s="3">
        <f t="shared" si="41"/>
        <v>0</v>
      </c>
      <c r="AO420" s="3">
        <f>SUM(J2:J14)</f>
        <v>1568.8</v>
      </c>
      <c r="AP4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1841.8241499999999</v>
      </c>
      <c r="AQ420" s="3" cm="1">
        <f t="array" aca="1" ref="AQ420" ca="1">OFFSET(Table7[[#This Row],[Investment Increase]],0,-1)-SUM($J$2:$J$14*($E$2:$E$14=$Q$31))</f>
        <v>41.824149999999918</v>
      </c>
    </row>
    <row r="421" spans="22:43" x14ac:dyDescent="0.45">
      <c r="V421" s="9">
        <v>44137</v>
      </c>
      <c r="W421" s="3">
        <v>138.35</v>
      </c>
      <c r="X421" s="2" cm="1">
        <f t="array" ref="X421">SUM($F$2:$F$12*($C$2:$C$12=$Q$2))</f>
        <v>1.5529999999999999</v>
      </c>
      <c r="Y421" s="3">
        <f t="shared" si="36"/>
        <v>214.85754999999997</v>
      </c>
      <c r="Z421" s="3">
        <v>139.94999999999999</v>
      </c>
      <c r="AA421" s="2" cm="1">
        <f t="array" ref="AA421">SUM($F$2:$F$12*($C$2:$C$12=$Q$3))</f>
        <v>0.72209999999999996</v>
      </c>
      <c r="AB421" s="3">
        <f t="shared" si="37"/>
        <v>101.05789499999999</v>
      </c>
      <c r="AC421" s="3">
        <v>15.09</v>
      </c>
      <c r="AD421" s="2" cm="1">
        <f t="array" ref="AD421">SUM($F$2:$F$12*($C$2:$C$12=$Q$4))</f>
        <v>40.53</v>
      </c>
      <c r="AE421" s="3">
        <f t="shared" si="38"/>
        <v>611.59770000000003</v>
      </c>
      <c r="AF421" s="3">
        <v>11.87</v>
      </c>
      <c r="AG421" s="2" cm="1">
        <f t="array" ref="AG421">SUM($F$2:$F$12*($C$2:$C$12=$Q$5))</f>
        <v>8.7029999999999994</v>
      </c>
      <c r="AH421" s="3">
        <f t="shared" si="39"/>
        <v>103.30460999999998</v>
      </c>
      <c r="AI421" s="3">
        <v>17.05</v>
      </c>
      <c r="AJ421" s="2" cm="1">
        <f t="array" ref="AJ421">SUM($F$2:$F$12*($C$2:$C$12=$Q$6))</f>
        <v>0</v>
      </c>
      <c r="AK421" s="3">
        <f t="shared" si="40"/>
        <v>0</v>
      </c>
      <c r="AL421" s="3">
        <v>11.05</v>
      </c>
      <c r="AM421" s="2" cm="1">
        <f t="array" ref="AM421">SUM($F$2:$F$12*($C$2:$C$12=$Q$8))</f>
        <v>0</v>
      </c>
      <c r="AN421" s="3">
        <f t="shared" si="41"/>
        <v>0</v>
      </c>
      <c r="AO421" s="3">
        <f>SUM(J2:J12)</f>
        <v>820</v>
      </c>
      <c r="AP4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1850.817755</v>
      </c>
      <c r="AQ421" s="3" cm="1">
        <f t="array" aca="1" ref="AQ421" ca="1">OFFSET(Table7[[#This Row],[Investment Increase]],0,-1)-SUM($J$2:$J$12*($E$2:$E$12=$Q$31))</f>
        <v>50.817755000000034</v>
      </c>
    </row>
    <row r="422" spans="22:43" x14ac:dyDescent="0.45">
      <c r="V422" s="9">
        <v>44134</v>
      </c>
      <c r="W422" s="3">
        <v>137.78</v>
      </c>
      <c r="X422" s="2" cm="1">
        <f t="array" ref="X422">SUM($F$2:$F$12*($C$2:$C$12=$Q$2))</f>
        <v>1.5529999999999999</v>
      </c>
      <c r="Y422" s="3">
        <f t="shared" si="36"/>
        <v>213.97234</v>
      </c>
      <c r="Z422" s="3">
        <v>139.35</v>
      </c>
      <c r="AA422" s="2" cm="1">
        <f t="array" ref="AA422">SUM($F$2:$F$12*($C$2:$C$12=$Q$3))</f>
        <v>0.72209999999999996</v>
      </c>
      <c r="AB422" s="3">
        <f t="shared" si="37"/>
        <v>100.624635</v>
      </c>
      <c r="AC422" s="3">
        <v>15.08</v>
      </c>
      <c r="AD422" s="2" cm="1">
        <f t="array" ref="AD422">SUM($F$2:$F$12*($C$2:$C$12=$Q$4))</f>
        <v>40.53</v>
      </c>
      <c r="AE422" s="3">
        <f t="shared" si="38"/>
        <v>611.19240000000002</v>
      </c>
      <c r="AF422" s="3">
        <v>11.73</v>
      </c>
      <c r="AG422" s="2" cm="1">
        <f t="array" ref="AG422">SUM($F$2:$F$12*($C$2:$C$12=$Q$5))</f>
        <v>8.7029999999999994</v>
      </c>
      <c r="AH422" s="3">
        <f t="shared" si="39"/>
        <v>102.08619</v>
      </c>
      <c r="AI422" s="3">
        <v>16.850000000000001</v>
      </c>
      <c r="AJ422" s="2" cm="1">
        <f t="array" ref="AJ422">SUM($F$2:$F$12*($C$2:$C$12=$Q$6))</f>
        <v>0</v>
      </c>
      <c r="AK422" s="3">
        <f t="shared" si="40"/>
        <v>0</v>
      </c>
      <c r="AL422" s="3">
        <v>10.82</v>
      </c>
      <c r="AM422" s="2" cm="1">
        <f t="array" ref="AM422">SUM($F$2:$F$12*($C$2:$C$12=$Q$8))</f>
        <v>0</v>
      </c>
      <c r="AN422" s="3">
        <f t="shared" si="41"/>
        <v>0</v>
      </c>
      <c r="AO422" s="3">
        <f>SUM(J2:J12)</f>
        <v>820</v>
      </c>
      <c r="AP4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1847.8755650000001</v>
      </c>
      <c r="AQ422" s="3" cm="1">
        <f t="array" aca="1" ref="AQ422" ca="1">OFFSET(Table7[[#This Row],[Investment Increase]],0,-1)-SUM($J$2:$J$12*($E$2:$E$12=$Q$31))</f>
        <v>47.875565000000051</v>
      </c>
    </row>
    <row r="423" spans="22:43" x14ac:dyDescent="0.45">
      <c r="V423" s="9">
        <v>44133</v>
      </c>
      <c r="W423" s="3">
        <v>141.25</v>
      </c>
      <c r="X423" s="2" cm="1">
        <f t="array" ref="X423">SUM($F$2:$F$12*($C$2:$C$12=$Q$2))</f>
        <v>1.5529999999999999</v>
      </c>
      <c r="Y423" s="3">
        <f t="shared" si="36"/>
        <v>219.36124999999998</v>
      </c>
      <c r="Z423" s="3">
        <v>143.75</v>
      </c>
      <c r="AA423" s="2" cm="1">
        <f t="array" ref="AA423">SUM($F$2:$F$12*($C$2:$C$12=$Q$3))</f>
        <v>0.72209999999999996</v>
      </c>
      <c r="AB423" s="3">
        <f t="shared" si="37"/>
        <v>103.801875</v>
      </c>
      <c r="AC423" s="3">
        <v>15.46</v>
      </c>
      <c r="AD423" s="2" cm="1">
        <f t="array" ref="AD423">SUM($F$2:$F$12*($C$2:$C$12=$Q$4))</f>
        <v>40.53</v>
      </c>
      <c r="AE423" s="3">
        <f t="shared" si="38"/>
        <v>626.5938000000001</v>
      </c>
      <c r="AF423" s="3">
        <v>11.89</v>
      </c>
      <c r="AG423" s="2" cm="1">
        <f t="array" ref="AG423">SUM($F$2:$F$12*($C$2:$C$12=$Q$5))</f>
        <v>8.7029999999999994</v>
      </c>
      <c r="AH423" s="3">
        <f t="shared" si="39"/>
        <v>103.47866999999999</v>
      </c>
      <c r="AI423" s="3">
        <v>17.059999999999999</v>
      </c>
      <c r="AJ423" s="2" cm="1">
        <f t="array" ref="AJ423">SUM($F$2:$F$12*($C$2:$C$12=$Q$6))</f>
        <v>0</v>
      </c>
      <c r="AK423" s="3">
        <f t="shared" si="40"/>
        <v>0</v>
      </c>
      <c r="AL423" s="3">
        <v>10.81</v>
      </c>
      <c r="AM423" s="2" cm="1">
        <f t="array" ref="AM423">SUM($F$2:$F$12*($C$2:$C$12=$Q$8))</f>
        <v>0</v>
      </c>
      <c r="AN423" s="3">
        <f t="shared" si="41"/>
        <v>0</v>
      </c>
      <c r="AO423" s="3">
        <f>SUM(J2:J12)</f>
        <v>820</v>
      </c>
      <c r="AP4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1873.2355950000001</v>
      </c>
      <c r="AQ423" s="3" cm="1">
        <f t="array" aca="1" ref="AQ423" ca="1">OFFSET(Table7[[#This Row],[Investment Increase]],0,-1)-SUM($J$2:$J$12*($E$2:$E$12=$Q$31))</f>
        <v>73.235595000000103</v>
      </c>
    </row>
    <row r="424" spans="22:43" x14ac:dyDescent="0.45">
      <c r="V424" s="9">
        <v>44132</v>
      </c>
      <c r="W424" s="3">
        <v>138.94999999999999</v>
      </c>
      <c r="X424" s="2" cm="1">
        <f t="array" ref="X424">SUM($F$2:$F$12*($C$2:$C$12=$Q$2))</f>
        <v>1.5529999999999999</v>
      </c>
      <c r="Y424" s="3">
        <f t="shared" si="36"/>
        <v>215.78934999999998</v>
      </c>
      <c r="Z424" s="3">
        <v>141.97</v>
      </c>
      <c r="AA424" s="2" cm="1">
        <f t="array" ref="AA424">SUM($F$2:$F$12*($C$2:$C$12=$Q$3))</f>
        <v>0.72209999999999996</v>
      </c>
      <c r="AB424" s="3">
        <f t="shared" si="37"/>
        <v>102.516537</v>
      </c>
      <c r="AC424" s="3">
        <v>15.19</v>
      </c>
      <c r="AD424" s="2" cm="1">
        <f t="array" ref="AD424">SUM($F$2:$F$12*($C$2:$C$12=$Q$4))</f>
        <v>40.53</v>
      </c>
      <c r="AE424" s="3">
        <f t="shared" si="38"/>
        <v>615.65070000000003</v>
      </c>
      <c r="AF424" s="3">
        <v>11.75</v>
      </c>
      <c r="AG424" s="2" cm="1">
        <f t="array" ref="AG424">SUM($F$2:$F$12*($C$2:$C$12=$Q$5))</f>
        <v>8.7029999999999994</v>
      </c>
      <c r="AH424" s="3">
        <f t="shared" si="39"/>
        <v>102.26025</v>
      </c>
      <c r="AI424" s="3">
        <v>16.87</v>
      </c>
      <c r="AJ424" s="2" cm="1">
        <f t="array" ref="AJ424">SUM($F$2:$F$12*($C$2:$C$12=$Q$6))</f>
        <v>0</v>
      </c>
      <c r="AK424" s="3">
        <f t="shared" si="40"/>
        <v>0</v>
      </c>
      <c r="AL424" s="3">
        <v>10.64</v>
      </c>
      <c r="AM424" s="2" cm="1">
        <f t="array" ref="AM424">SUM($F$2:$F$12*($C$2:$C$12=$Q$8))</f>
        <v>0</v>
      </c>
      <c r="AN424" s="3">
        <f t="shared" si="41"/>
        <v>0</v>
      </c>
      <c r="AO424" s="3">
        <f>SUM(J2:J12)</f>
        <v>820</v>
      </c>
      <c r="AP4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1856.2168369999999</v>
      </c>
      <c r="AQ424" s="3" cm="1">
        <f t="array" aca="1" ref="AQ424" ca="1">OFFSET(Table7[[#This Row],[Investment Increase]],0,-1)-SUM($J$2:$J$12*($E$2:$E$12=$Q$31))</f>
        <v>56.216836999999941</v>
      </c>
    </row>
    <row r="425" spans="22:43" x14ac:dyDescent="0.45">
      <c r="V425" s="9">
        <v>44131</v>
      </c>
      <c r="W425" s="3">
        <v>144.35</v>
      </c>
      <c r="X425" s="2" cm="1">
        <f t="array" ref="X425">SUM($F$2:$F$12*($C$2:$C$12=$Q$2))</f>
        <v>1.5529999999999999</v>
      </c>
      <c r="Y425" s="3">
        <f t="shared" si="36"/>
        <v>224.17554999999999</v>
      </c>
      <c r="Z425" s="3">
        <v>147.19999999999999</v>
      </c>
      <c r="AA425" s="2" cm="1">
        <f t="array" ref="AA425">SUM($F$2:$F$12*($C$2:$C$12=$Q$3))</f>
        <v>0.72209999999999996</v>
      </c>
      <c r="AB425" s="3">
        <f t="shared" si="37"/>
        <v>106.29311999999999</v>
      </c>
      <c r="AC425" s="3">
        <v>15.81</v>
      </c>
      <c r="AD425" s="2" cm="1">
        <f t="array" ref="AD425">SUM($F$2:$F$12*($C$2:$C$12=$Q$4))</f>
        <v>40.53</v>
      </c>
      <c r="AE425" s="3">
        <f t="shared" si="38"/>
        <v>640.77930000000003</v>
      </c>
      <c r="AF425" s="3">
        <v>12.18</v>
      </c>
      <c r="AG425" s="2" cm="1">
        <f t="array" ref="AG425">SUM($F$2:$F$12*($C$2:$C$12=$Q$5))</f>
        <v>8.7029999999999994</v>
      </c>
      <c r="AH425" s="3">
        <f t="shared" si="39"/>
        <v>106.00254</v>
      </c>
      <c r="AI425" s="3">
        <v>17.48</v>
      </c>
      <c r="AJ425" s="2" cm="1">
        <f t="array" ref="AJ425">SUM($F$2:$F$12*($C$2:$C$12=$Q$6))</f>
        <v>0</v>
      </c>
      <c r="AK425" s="3">
        <f t="shared" si="40"/>
        <v>0</v>
      </c>
      <c r="AL425" s="3">
        <v>11.02</v>
      </c>
      <c r="AM425" s="2" cm="1">
        <f t="array" ref="AM425">SUM($F$2:$F$12*($C$2:$C$12=$Q$8))</f>
        <v>0</v>
      </c>
      <c r="AN425" s="3">
        <f t="shared" si="41"/>
        <v>0</v>
      </c>
      <c r="AO425" s="3">
        <f>SUM(J2:J12)</f>
        <v>820</v>
      </c>
      <c r="AP4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1897.2505100000001</v>
      </c>
      <c r="AQ425" s="3" cm="1">
        <f t="array" aca="1" ref="AQ425" ca="1">OFFSET(Table7[[#This Row],[Investment Increase]],0,-1)-SUM($J$2:$J$12*($E$2:$E$12=$Q$31))</f>
        <v>97.250510000000077</v>
      </c>
    </row>
    <row r="426" spans="22:43" x14ac:dyDescent="0.45">
      <c r="V426" s="9">
        <v>44130</v>
      </c>
      <c r="W426" s="3">
        <v>143.43</v>
      </c>
      <c r="X426" s="2" cm="1">
        <f t="array" ref="X426">SUM($F$2:$F$12*($C$2:$C$12=$Q$2))</f>
        <v>1.5529999999999999</v>
      </c>
      <c r="Y426" s="3">
        <f t="shared" si="36"/>
        <v>222.74679</v>
      </c>
      <c r="Z426" s="3">
        <v>145.94</v>
      </c>
      <c r="AA426" s="2" cm="1">
        <f t="array" ref="AA426">SUM($F$2:$F$12*($C$2:$C$12=$Q$3))</f>
        <v>0.72209999999999996</v>
      </c>
      <c r="AB426" s="3">
        <f t="shared" si="37"/>
        <v>105.383274</v>
      </c>
      <c r="AC426" s="3">
        <v>15.69</v>
      </c>
      <c r="AD426" s="2" cm="1">
        <f t="array" ref="AD426">SUM($F$2:$F$12*($C$2:$C$12=$Q$4))</f>
        <v>40.53</v>
      </c>
      <c r="AE426" s="3">
        <f t="shared" si="38"/>
        <v>635.91570000000002</v>
      </c>
      <c r="AF426" s="3">
        <v>12.21</v>
      </c>
      <c r="AG426" s="2" cm="1">
        <f t="array" ref="AG426">SUM($F$2:$F$12*($C$2:$C$12=$Q$5))</f>
        <v>8.7029999999999994</v>
      </c>
      <c r="AH426" s="3">
        <f t="shared" si="39"/>
        <v>106.26363000000001</v>
      </c>
      <c r="AI426" s="3">
        <v>17.52</v>
      </c>
      <c r="AJ426" s="2" cm="1">
        <f t="array" ref="AJ426">SUM($F$2:$F$12*($C$2:$C$12=$Q$6))</f>
        <v>0</v>
      </c>
      <c r="AK426" s="3">
        <f t="shared" si="40"/>
        <v>0</v>
      </c>
      <c r="AL426" s="3">
        <v>11.13</v>
      </c>
      <c r="AM426" s="2" cm="1">
        <f t="array" ref="AM426">SUM($F$2:$F$12*($C$2:$C$12=$Q$8))</f>
        <v>0</v>
      </c>
      <c r="AN426" s="3">
        <f t="shared" si="41"/>
        <v>0</v>
      </c>
      <c r="AO426" s="3">
        <f>SUM(J2:J12)</f>
        <v>820</v>
      </c>
      <c r="AP4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1890.3093939999999</v>
      </c>
      <c r="AQ426" s="3" cm="1">
        <f t="array" aca="1" ref="AQ426" ca="1">OFFSET(Table7[[#This Row],[Investment Increase]],0,-1)-SUM($J$2:$J$12*($E$2:$E$12=$Q$31))</f>
        <v>90.309393999999884</v>
      </c>
    </row>
    <row r="427" spans="22:43" x14ac:dyDescent="0.45">
      <c r="V427" s="9">
        <v>44127</v>
      </c>
      <c r="W427" s="3">
        <v>145.83000000000001</v>
      </c>
      <c r="X427" s="2" cm="1">
        <f t="array" ref="X427">SUM($F$2:$F$12*($C$2:$C$12=$Q$2))</f>
        <v>1.5529999999999999</v>
      </c>
      <c r="Y427" s="3">
        <f t="shared" si="36"/>
        <v>226.47399000000001</v>
      </c>
      <c r="Z427" s="3">
        <v>148.44999999999999</v>
      </c>
      <c r="AA427" s="2" cm="1">
        <f t="array" ref="AA427">SUM($F$2:$F$12*($C$2:$C$12=$Q$3))</f>
        <v>0.72209999999999996</v>
      </c>
      <c r="AB427" s="3">
        <f t="shared" si="37"/>
        <v>107.19574499999999</v>
      </c>
      <c r="AC427" s="3">
        <v>15.97</v>
      </c>
      <c r="AD427" s="2" cm="1">
        <f t="array" ref="AD427">SUM($F$2:$F$12*($C$2:$C$12=$Q$4))</f>
        <v>40.53</v>
      </c>
      <c r="AE427" s="3">
        <f t="shared" si="38"/>
        <v>647.2641000000001</v>
      </c>
      <c r="AF427" s="3">
        <v>12.44</v>
      </c>
      <c r="AG427" s="2" cm="1">
        <f t="array" ref="AG427">SUM($F$2:$F$12*($C$2:$C$12=$Q$5))</f>
        <v>8.7029999999999994</v>
      </c>
      <c r="AH427" s="3">
        <f t="shared" si="39"/>
        <v>108.26531999999999</v>
      </c>
      <c r="AI427" s="3">
        <v>17.86</v>
      </c>
      <c r="AJ427" s="2" cm="1">
        <f t="array" ref="AJ427">SUM($F$2:$F$12*($C$2:$C$12=$Q$6))</f>
        <v>0</v>
      </c>
      <c r="AK427" s="3">
        <f t="shared" si="40"/>
        <v>0</v>
      </c>
      <c r="AL427" s="3">
        <v>11.34</v>
      </c>
      <c r="AM427" s="2" cm="1">
        <f t="array" ref="AM427">SUM($F$2:$F$12*($C$2:$C$12=$Q$8))</f>
        <v>0</v>
      </c>
      <c r="AN427" s="3">
        <f t="shared" si="41"/>
        <v>0</v>
      </c>
      <c r="AO427" s="3">
        <f>SUM(J2:J12)</f>
        <v>820</v>
      </c>
      <c r="AP4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1909.199155</v>
      </c>
      <c r="AQ427" s="3" cm="1">
        <f t="array" aca="1" ref="AQ427" ca="1">OFFSET(Table7[[#This Row],[Investment Increase]],0,-1)-SUM($J$2:$J$12*($E$2:$E$12=$Q$31))</f>
        <v>109.19915500000002</v>
      </c>
    </row>
    <row r="428" spans="22:43" x14ac:dyDescent="0.45">
      <c r="V428" s="9">
        <v>44126</v>
      </c>
      <c r="W428" s="3">
        <v>145.29</v>
      </c>
      <c r="X428" s="2" cm="1">
        <f t="array" ref="X428">SUM($F$2:$F$12*($C$2:$C$12=$Q$2))</f>
        <v>1.5529999999999999</v>
      </c>
      <c r="Y428" s="3">
        <f t="shared" si="36"/>
        <v>225.63536999999997</v>
      </c>
      <c r="Z428" s="3">
        <v>147.30000000000001</v>
      </c>
      <c r="AA428" s="2" cm="1">
        <f t="array" ref="AA428">SUM($F$2:$F$12*($C$2:$C$12=$Q$3))</f>
        <v>0.72209999999999996</v>
      </c>
      <c r="AB428" s="3">
        <f t="shared" si="37"/>
        <v>106.36533</v>
      </c>
      <c r="AC428" s="3">
        <v>15.88</v>
      </c>
      <c r="AD428" s="2" cm="1">
        <f t="array" ref="AD428">SUM($F$2:$F$12*($C$2:$C$12=$Q$4))</f>
        <v>40.53</v>
      </c>
      <c r="AE428" s="3">
        <f t="shared" si="38"/>
        <v>643.6164</v>
      </c>
      <c r="AF428" s="3">
        <v>12.39</v>
      </c>
      <c r="AG428" s="2" cm="1">
        <f t="array" ref="AG428">SUM($F$2:$F$12*($C$2:$C$12=$Q$5))</f>
        <v>8.7029999999999994</v>
      </c>
      <c r="AH428" s="3">
        <f t="shared" si="39"/>
        <v>107.83017</v>
      </c>
      <c r="AI428" s="3">
        <v>17.78</v>
      </c>
      <c r="AJ428" s="2" cm="1">
        <f t="array" ref="AJ428">SUM($F$2:$F$12*($C$2:$C$12=$Q$6))</f>
        <v>0</v>
      </c>
      <c r="AK428" s="3">
        <f t="shared" si="40"/>
        <v>0</v>
      </c>
      <c r="AL428" s="3">
        <v>11.38</v>
      </c>
      <c r="AM428" s="2" cm="1">
        <f t="array" ref="AM428">SUM($F$2:$F$12*($C$2:$C$12=$Q$8))</f>
        <v>0</v>
      </c>
      <c r="AN428" s="3">
        <f t="shared" si="41"/>
        <v>0</v>
      </c>
      <c r="AO428" s="3">
        <f>SUM(J2:J12)</f>
        <v>820</v>
      </c>
      <c r="AP4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1903.4472699999999</v>
      </c>
      <c r="AQ428" s="3" cm="1">
        <f t="array" aca="1" ref="AQ428" ca="1">OFFSET(Table7[[#This Row],[Investment Increase]],0,-1)-SUM($J$2:$J$12*($E$2:$E$12=$Q$31))</f>
        <v>103.44726999999989</v>
      </c>
    </row>
    <row r="429" spans="22:43" x14ac:dyDescent="0.45">
      <c r="V429" s="9">
        <v>44125</v>
      </c>
      <c r="W429" s="3">
        <v>145.02000000000001</v>
      </c>
      <c r="X429" s="2" cm="1">
        <f t="array" ref="X429">SUM($F$2:$F$12*($C$2:$C$12=$Q$2))</f>
        <v>1.5529999999999999</v>
      </c>
      <c r="Y429" s="3">
        <f t="shared" si="36"/>
        <v>225.21606</v>
      </c>
      <c r="Z429" s="3">
        <v>147.22999999999999</v>
      </c>
      <c r="AA429" s="2" cm="1">
        <f t="array" ref="AA429">SUM($F$2:$F$12*($C$2:$C$12=$Q$3))</f>
        <v>0.72209999999999996</v>
      </c>
      <c r="AB429" s="3">
        <f t="shared" si="37"/>
        <v>106.31478299999999</v>
      </c>
      <c r="AC429" s="3">
        <v>15.86</v>
      </c>
      <c r="AD429" s="2" cm="1">
        <f t="array" ref="AD429">SUM($F$2:$F$12*($C$2:$C$12=$Q$4))</f>
        <v>40.53</v>
      </c>
      <c r="AE429" s="3">
        <f t="shared" si="38"/>
        <v>642.80579999999998</v>
      </c>
      <c r="AF429" s="3">
        <v>12.33</v>
      </c>
      <c r="AG429" s="2" cm="1">
        <f t="array" ref="AG429">SUM($F$2:$F$12*($C$2:$C$12=$Q$5))</f>
        <v>8.7029999999999994</v>
      </c>
      <c r="AH429" s="3">
        <f t="shared" si="39"/>
        <v>107.30798999999999</v>
      </c>
      <c r="AI429" s="3">
        <v>17.71</v>
      </c>
      <c r="AJ429" s="2" cm="1">
        <f t="array" ref="AJ429">SUM($F$2:$F$12*($C$2:$C$12=$Q$6))</f>
        <v>0</v>
      </c>
      <c r="AK429" s="3">
        <f t="shared" si="40"/>
        <v>0</v>
      </c>
      <c r="AL429" s="3">
        <v>11.31</v>
      </c>
      <c r="AM429" s="2" cm="1">
        <f t="array" ref="AM429">SUM($F$2:$F$12*($C$2:$C$12=$Q$8))</f>
        <v>0</v>
      </c>
      <c r="AN429" s="3">
        <f t="shared" si="41"/>
        <v>0</v>
      </c>
      <c r="AO429" s="3">
        <f>SUM(J2:J12)</f>
        <v>820</v>
      </c>
      <c r="AP4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1901.6446329999999</v>
      </c>
      <c r="AQ429" s="3" cm="1">
        <f t="array" aca="1" ref="AQ429" ca="1">OFFSET(Table7[[#This Row],[Investment Increase]],0,-1)-SUM($J$2:$J$12*($E$2:$E$12=$Q$31))</f>
        <v>101.64463299999989</v>
      </c>
    </row>
    <row r="430" spans="22:43" x14ac:dyDescent="0.45">
      <c r="V430" s="9">
        <v>44124</v>
      </c>
      <c r="W430" s="3">
        <v>145.41999999999999</v>
      </c>
      <c r="X430" s="2" cm="1">
        <f t="array" ref="X430">SUM($F$2:$F$12*($C$2:$C$12=$Q$2))</f>
        <v>1.5529999999999999</v>
      </c>
      <c r="Y430" s="3">
        <f t="shared" si="36"/>
        <v>225.83725999999996</v>
      </c>
      <c r="Z430" s="3">
        <v>148.16</v>
      </c>
      <c r="AA430" s="2" cm="1">
        <f t="array" ref="AA430">SUM($F$2:$F$12*($C$2:$C$12=$Q$3))</f>
        <v>0.72209999999999996</v>
      </c>
      <c r="AB430" s="3">
        <f t="shared" si="37"/>
        <v>106.98633599999999</v>
      </c>
      <c r="AC430" s="3">
        <v>15.86</v>
      </c>
      <c r="AD430" s="2" cm="1">
        <f t="array" ref="AD430">SUM($F$2:$F$12*($C$2:$C$12=$Q$4))</f>
        <v>40.53</v>
      </c>
      <c r="AE430" s="3">
        <f t="shared" si="38"/>
        <v>642.80579999999998</v>
      </c>
      <c r="AF430" s="3">
        <v>12.36</v>
      </c>
      <c r="AG430" s="2" cm="1">
        <f t="array" ref="AG430">SUM($F$2:$F$12*($C$2:$C$12=$Q$5))</f>
        <v>8.7029999999999994</v>
      </c>
      <c r="AH430" s="3">
        <f t="shared" si="39"/>
        <v>107.56907999999999</v>
      </c>
      <c r="AI430" s="3">
        <v>17.78</v>
      </c>
      <c r="AJ430" s="2" cm="1">
        <f t="array" ref="AJ430">SUM($F$2:$F$12*($C$2:$C$12=$Q$6))</f>
        <v>0</v>
      </c>
      <c r="AK430" s="3">
        <f t="shared" si="40"/>
        <v>0</v>
      </c>
      <c r="AL430" s="3">
        <v>11.27</v>
      </c>
      <c r="AM430" s="2" cm="1">
        <f t="array" ref="AM430">SUM($F$2:$F$12*($C$2:$C$12=$Q$8))</f>
        <v>0</v>
      </c>
      <c r="AN430" s="3">
        <f t="shared" si="41"/>
        <v>0</v>
      </c>
      <c r="AO430" s="3">
        <f>SUM(J2:J12)</f>
        <v>820</v>
      </c>
      <c r="AP4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1903.198476</v>
      </c>
      <c r="AQ430" s="3" cm="1">
        <f t="array" aca="1" ref="AQ430" ca="1">OFFSET(Table7[[#This Row],[Investment Increase]],0,-1)-SUM($J$2:$J$12*($E$2:$E$12=$Q$31))</f>
        <v>103.19847600000003</v>
      </c>
    </row>
    <row r="431" spans="22:43" x14ac:dyDescent="0.45">
      <c r="V431" s="9">
        <v>44123</v>
      </c>
      <c r="W431" s="3">
        <v>144.94</v>
      </c>
      <c r="X431" s="2" cm="1">
        <f t="array" ref="X431">SUM($F$2:$F$12*($C$2:$C$12=$Q$2))</f>
        <v>1.5529999999999999</v>
      </c>
      <c r="Y431" s="3">
        <f t="shared" si="36"/>
        <v>225.09181999999998</v>
      </c>
      <c r="Z431" s="3">
        <v>147.69999999999999</v>
      </c>
      <c r="AA431" s="2" cm="1">
        <f t="array" ref="AA431">SUM($F$2:$F$12*($C$2:$C$12=$Q$3))</f>
        <v>0.72209999999999996</v>
      </c>
      <c r="AB431" s="3">
        <f t="shared" si="37"/>
        <v>106.65416999999999</v>
      </c>
      <c r="AC431" s="3">
        <v>15.79</v>
      </c>
      <c r="AD431" s="2" cm="1">
        <f t="array" ref="AD431">SUM($F$2:$F$12*($C$2:$C$12=$Q$4))</f>
        <v>40.53</v>
      </c>
      <c r="AE431" s="3">
        <f t="shared" si="38"/>
        <v>639.96870000000001</v>
      </c>
      <c r="AF431" s="3">
        <v>12.31</v>
      </c>
      <c r="AG431" s="2" cm="1">
        <f t="array" ref="AG431">SUM($F$2:$F$12*($C$2:$C$12=$Q$5))</f>
        <v>8.7029999999999994</v>
      </c>
      <c r="AH431" s="3">
        <f t="shared" si="39"/>
        <v>107.13392999999999</v>
      </c>
      <c r="AI431" s="3">
        <v>17.68</v>
      </c>
      <c r="AJ431" s="2" cm="1">
        <f t="array" ref="AJ431">SUM($F$2:$F$12*($C$2:$C$12=$Q$6))</f>
        <v>0</v>
      </c>
      <c r="AK431" s="3">
        <f t="shared" si="40"/>
        <v>0</v>
      </c>
      <c r="AL431" s="3">
        <v>11.16</v>
      </c>
      <c r="AM431" s="2" cm="1">
        <f t="array" ref="AM431">SUM($F$2:$F$12*($C$2:$C$12=$Q$8))</f>
        <v>0</v>
      </c>
      <c r="AN431" s="3">
        <f t="shared" si="41"/>
        <v>0</v>
      </c>
      <c r="AO431" s="3">
        <f>SUM(J2:J12)</f>
        <v>820</v>
      </c>
      <c r="AP4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1898.84862</v>
      </c>
      <c r="AQ431" s="3" cm="1">
        <f t="array" aca="1" ref="AQ431" ca="1">OFFSET(Table7[[#This Row],[Investment Increase]],0,-1)-SUM($J$2:$J$12*($E$2:$E$12=$Q$31))</f>
        <v>98.848619999999983</v>
      </c>
    </row>
    <row r="432" spans="22:43" x14ac:dyDescent="0.45">
      <c r="V432" s="9">
        <v>44120</v>
      </c>
      <c r="W432" s="3">
        <v>147.38</v>
      </c>
      <c r="X432" s="2" cm="1">
        <f t="array" ref="X432">SUM($F$2:$F$12*($C$2:$C$12=$Q$2))</f>
        <v>1.5529999999999999</v>
      </c>
      <c r="Y432" s="3">
        <f t="shared" si="36"/>
        <v>228.88113999999999</v>
      </c>
      <c r="Z432" s="3">
        <v>150.16999999999999</v>
      </c>
      <c r="AA432" s="2" cm="1">
        <f t="array" ref="AA432">SUM($F$2:$F$12*($C$2:$C$12=$Q$3))</f>
        <v>0.72209999999999996</v>
      </c>
      <c r="AB432" s="3">
        <f t="shared" si="37"/>
        <v>108.43775699999999</v>
      </c>
      <c r="AC432" s="3">
        <v>16.07</v>
      </c>
      <c r="AD432" s="2" cm="1">
        <f t="array" ref="AD432">SUM($F$2:$F$12*($C$2:$C$12=$Q$4))</f>
        <v>40.53</v>
      </c>
      <c r="AE432" s="3">
        <f t="shared" si="38"/>
        <v>651.31709999999998</v>
      </c>
      <c r="AF432" s="3">
        <v>12.51</v>
      </c>
      <c r="AG432" s="2" cm="1">
        <f t="array" ref="AG432">SUM($F$2:$F$12*($C$2:$C$12=$Q$5))</f>
        <v>8.7029999999999994</v>
      </c>
      <c r="AH432" s="3">
        <f t="shared" si="39"/>
        <v>108.87452999999999</v>
      </c>
      <c r="AI432" s="3">
        <v>17.97</v>
      </c>
      <c r="AJ432" s="2" cm="1">
        <f t="array" ref="AJ432">SUM($F$2:$F$12*($C$2:$C$12=$Q$6))</f>
        <v>0</v>
      </c>
      <c r="AK432" s="3">
        <f t="shared" si="40"/>
        <v>0</v>
      </c>
      <c r="AL432" s="3">
        <v>11.25</v>
      </c>
      <c r="AM432" s="2" cm="1">
        <f t="array" ref="AM432">SUM($F$2:$F$12*($C$2:$C$12=$Q$8))</f>
        <v>0</v>
      </c>
      <c r="AN432" s="3">
        <f t="shared" si="41"/>
        <v>0</v>
      </c>
      <c r="AO432" s="3">
        <f>SUM(J2:J12)</f>
        <v>820</v>
      </c>
      <c r="AP4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1917.5105269999999</v>
      </c>
      <c r="AQ432" s="3" cm="1">
        <f t="array" aca="1" ref="AQ432" ca="1">OFFSET(Table7[[#This Row],[Investment Increase]],0,-1)-SUM($J$2:$J$12*($E$2:$E$12=$Q$31))</f>
        <v>117.51052699999991</v>
      </c>
    </row>
    <row r="433" spans="22:43" x14ac:dyDescent="0.45">
      <c r="V433" s="9">
        <v>44119</v>
      </c>
      <c r="W433" s="3">
        <v>147.91999999999999</v>
      </c>
      <c r="X433" s="2" cm="1">
        <f t="array" ref="X433">SUM($F$2:$F$12*($C$2:$C$12=$Q$2))</f>
        <v>1.5529999999999999</v>
      </c>
      <c r="Y433" s="3">
        <f t="shared" si="36"/>
        <v>229.71975999999998</v>
      </c>
      <c r="Z433" s="3">
        <v>150.77000000000001</v>
      </c>
      <c r="AA433" s="2" cm="1">
        <f t="array" ref="AA433">SUM($F$2:$F$12*($C$2:$C$12=$Q$3))</f>
        <v>0.72209999999999996</v>
      </c>
      <c r="AB433" s="3">
        <f t="shared" si="37"/>
        <v>108.87101700000001</v>
      </c>
      <c r="AC433" s="3">
        <v>16.13</v>
      </c>
      <c r="AD433" s="2" cm="1">
        <f t="array" ref="AD433">SUM($F$2:$F$12*($C$2:$C$12=$Q$4))</f>
        <v>40.53</v>
      </c>
      <c r="AE433" s="3">
        <f t="shared" si="38"/>
        <v>653.74889999999994</v>
      </c>
      <c r="AF433" s="3">
        <v>12.51</v>
      </c>
      <c r="AG433" s="2" cm="1">
        <f t="array" ref="AG433">SUM($F$2:$F$12*($C$2:$C$12=$Q$5))</f>
        <v>8.7029999999999994</v>
      </c>
      <c r="AH433" s="3">
        <f t="shared" si="39"/>
        <v>108.87452999999999</v>
      </c>
      <c r="AI433" s="3">
        <v>18</v>
      </c>
      <c r="AJ433" s="2" cm="1">
        <f t="array" ref="AJ433">SUM($F$2:$F$12*($C$2:$C$12=$Q$6))</f>
        <v>0</v>
      </c>
      <c r="AK433" s="3">
        <f t="shared" si="40"/>
        <v>0</v>
      </c>
      <c r="AL433" s="3">
        <v>11.27</v>
      </c>
      <c r="AM433" s="2" cm="1">
        <f t="array" ref="AM433">SUM($F$2:$F$12*($C$2:$C$12=$Q$8))</f>
        <v>0</v>
      </c>
      <c r="AN433" s="3">
        <f t="shared" si="41"/>
        <v>0</v>
      </c>
      <c r="AO433" s="3">
        <f>SUM(J2:J12)</f>
        <v>820</v>
      </c>
      <c r="AP4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1921.214207</v>
      </c>
      <c r="AQ433" s="3" cm="1">
        <f t="array" aca="1" ref="AQ433" ca="1">OFFSET(Table7[[#This Row],[Investment Increase]],0,-1)-SUM($J$2:$J$12*($E$2:$E$12=$Q$31))</f>
        <v>121.21420699999999</v>
      </c>
    </row>
    <row r="434" spans="22:43" x14ac:dyDescent="0.45">
      <c r="V434" s="9">
        <v>44118</v>
      </c>
      <c r="W434" s="3">
        <v>148.61000000000001</v>
      </c>
      <c r="X434" s="2" cm="1">
        <f t="array" ref="X434">SUM($F$2:$F$12*($C$2:$C$12=$Q$2))</f>
        <v>1.5529999999999999</v>
      </c>
      <c r="Y434" s="3">
        <f t="shared" si="36"/>
        <v>230.79133000000002</v>
      </c>
      <c r="Z434" s="3">
        <v>151.5</v>
      </c>
      <c r="AA434" s="2" cm="1">
        <f t="array" ref="AA434">SUM($F$2:$F$12*($C$2:$C$12=$Q$3))</f>
        <v>0.72209999999999996</v>
      </c>
      <c r="AB434" s="3">
        <f t="shared" si="37"/>
        <v>109.39815</v>
      </c>
      <c r="AC434" s="3">
        <v>16.239999999999998</v>
      </c>
      <c r="AD434" s="2" cm="1">
        <f t="array" ref="AD434">SUM($F$2:$F$12*($C$2:$C$12=$Q$4))</f>
        <v>40.53</v>
      </c>
      <c r="AE434" s="3">
        <f t="shared" si="38"/>
        <v>658.20719999999994</v>
      </c>
      <c r="AF434" s="3">
        <v>12.54</v>
      </c>
      <c r="AG434" s="2" cm="1">
        <f t="array" ref="AG434">SUM($F$2:$F$12*($C$2:$C$12=$Q$5))</f>
        <v>8.7029999999999994</v>
      </c>
      <c r="AH434" s="3">
        <f t="shared" si="39"/>
        <v>109.13561999999999</v>
      </c>
      <c r="AI434" s="3">
        <v>18</v>
      </c>
      <c r="AJ434" s="2" cm="1">
        <f t="array" ref="AJ434">SUM($F$2:$F$12*($C$2:$C$12=$Q$6))</f>
        <v>0</v>
      </c>
      <c r="AK434" s="3">
        <f t="shared" si="40"/>
        <v>0</v>
      </c>
      <c r="AL434" s="3">
        <v>11.29</v>
      </c>
      <c r="AM434" s="2" cm="1">
        <f t="array" ref="AM434">SUM($F$2:$F$12*($C$2:$C$12=$Q$8))</f>
        <v>0</v>
      </c>
      <c r="AN434" s="3">
        <f t="shared" si="41"/>
        <v>0</v>
      </c>
      <c r="AO434" s="3">
        <f>SUM(J2:J12)</f>
        <v>820</v>
      </c>
      <c r="AP4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1927.5322999999999</v>
      </c>
      <c r="AQ434" s="3" cm="1">
        <f t="array" aca="1" ref="AQ434" ca="1">OFFSET(Table7[[#This Row],[Investment Increase]],0,-1)-SUM($J$2:$J$12*($E$2:$E$12=$Q$31))</f>
        <v>127.53229999999985</v>
      </c>
    </row>
    <row r="435" spans="22:43" x14ac:dyDescent="0.45">
      <c r="V435" s="9">
        <v>44117</v>
      </c>
      <c r="W435" s="3">
        <v>149.82</v>
      </c>
      <c r="X435" s="2" cm="1">
        <f t="array" ref="X435">SUM($F$2:$F$12*($C$2:$C$12=$Q$2))</f>
        <v>1.5529999999999999</v>
      </c>
      <c r="Y435" s="3">
        <f t="shared" si="36"/>
        <v>232.67045999999999</v>
      </c>
      <c r="Z435" s="3">
        <v>152.76</v>
      </c>
      <c r="AA435" s="2" cm="1">
        <f t="array" ref="AA435">SUM($F$2:$F$12*($C$2:$C$12=$Q$3))</f>
        <v>0.72209999999999996</v>
      </c>
      <c r="AB435" s="3">
        <f t="shared" si="37"/>
        <v>110.30799599999999</v>
      </c>
      <c r="AC435" s="3">
        <v>16.36</v>
      </c>
      <c r="AD435" s="2" cm="1">
        <f t="array" ref="AD435">SUM($F$2:$F$12*($C$2:$C$12=$Q$4))</f>
        <v>40.53</v>
      </c>
      <c r="AE435" s="3">
        <f t="shared" si="38"/>
        <v>663.07079999999996</v>
      </c>
      <c r="AF435" s="3">
        <v>12.62</v>
      </c>
      <c r="AG435" s="2" cm="1">
        <f t="array" ref="AG435">SUM($F$2:$F$12*($C$2:$C$12=$Q$5))</f>
        <v>8.7029999999999994</v>
      </c>
      <c r="AH435" s="3">
        <f t="shared" si="39"/>
        <v>109.83185999999999</v>
      </c>
      <c r="AI435" s="3">
        <v>18.12</v>
      </c>
      <c r="AJ435" s="2" cm="1">
        <f t="array" ref="AJ435">SUM($F$2:$F$12*($C$2:$C$12=$Q$6))</f>
        <v>0</v>
      </c>
      <c r="AK435" s="3">
        <f t="shared" si="40"/>
        <v>0</v>
      </c>
      <c r="AL435" s="3">
        <v>11.26</v>
      </c>
      <c r="AM435" s="2" cm="1">
        <f t="array" ref="AM435">SUM($F$2:$F$12*($C$2:$C$12=$Q$8))</f>
        <v>0</v>
      </c>
      <c r="AN435" s="3">
        <f t="shared" si="41"/>
        <v>0</v>
      </c>
      <c r="AO435" s="3">
        <f>SUM(J2:J12)</f>
        <v>820</v>
      </c>
      <c r="AP4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1935.881116</v>
      </c>
      <c r="AQ435" s="3" cm="1">
        <f t="array" aca="1" ref="AQ435" ca="1">OFFSET(Table7[[#This Row],[Investment Increase]],0,-1)-SUM($J$2:$J$12*($E$2:$E$12=$Q$31))</f>
        <v>135.88111600000002</v>
      </c>
    </row>
    <row r="436" spans="22:43" x14ac:dyDescent="0.45">
      <c r="V436" s="9">
        <v>44116</v>
      </c>
      <c r="W436" s="3">
        <v>149.97</v>
      </c>
      <c r="X436" s="2" cm="1">
        <f t="array" ref="X436">SUM($F$2:$F$12*($C$2:$C$12=$Q$2))</f>
        <v>1.5529999999999999</v>
      </c>
      <c r="Y436" s="3">
        <f t="shared" si="36"/>
        <v>232.90340999999998</v>
      </c>
      <c r="Z436" s="3">
        <v>152.44</v>
      </c>
      <c r="AA436" s="2" cm="1">
        <f t="array" ref="AA436">SUM($F$2:$F$12*($C$2:$C$12=$Q$3))</f>
        <v>0.72209999999999996</v>
      </c>
      <c r="AB436" s="3">
        <f t="shared" si="37"/>
        <v>110.07692399999999</v>
      </c>
      <c r="AC436" s="3">
        <v>16.38</v>
      </c>
      <c r="AD436" s="2" cm="1">
        <f t="array" ref="AD436">SUM($F$2:$F$12*($C$2:$C$12=$Q$4))</f>
        <v>40.53</v>
      </c>
      <c r="AE436" s="3">
        <f t="shared" si="38"/>
        <v>663.88139999999999</v>
      </c>
      <c r="AF436" s="3">
        <v>12.69</v>
      </c>
      <c r="AG436" s="2" cm="1">
        <f t="array" ref="AG436">SUM($F$2:$F$12*($C$2:$C$12=$Q$5))</f>
        <v>8.7029999999999994</v>
      </c>
      <c r="AH436" s="3">
        <f t="shared" si="39"/>
        <v>110.44106999999998</v>
      </c>
      <c r="AI436" s="3">
        <v>18.25</v>
      </c>
      <c r="AJ436" s="2" cm="1">
        <f t="array" ref="AJ436">SUM($F$2:$F$12*($C$2:$C$12=$Q$6))</f>
        <v>0</v>
      </c>
      <c r="AK436" s="3">
        <f t="shared" si="40"/>
        <v>0</v>
      </c>
      <c r="AL436" s="3">
        <v>11.41</v>
      </c>
      <c r="AM436" s="2" cm="1">
        <f t="array" ref="AM436">SUM($F$2:$F$12*($C$2:$C$12=$Q$8))</f>
        <v>0</v>
      </c>
      <c r="AN436" s="3">
        <f t="shared" si="41"/>
        <v>0</v>
      </c>
      <c r="AO436" s="3">
        <f>SUM(J2:J12)</f>
        <v>820</v>
      </c>
      <c r="AP4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1937.3028039999999</v>
      </c>
      <c r="AQ436" s="3" cm="1">
        <f t="array" aca="1" ref="AQ436" ca="1">OFFSET(Table7[[#This Row],[Investment Increase]],0,-1)-SUM($J$2:$J$12*($E$2:$E$12=$Q$31))</f>
        <v>137.30280399999992</v>
      </c>
    </row>
    <row r="437" spans="22:43" x14ac:dyDescent="0.45">
      <c r="V437" s="9">
        <v>44113</v>
      </c>
      <c r="W437" s="3">
        <v>146.22999999999999</v>
      </c>
      <c r="X437" s="2" cm="1">
        <f t="array" ref="X437">SUM($F$2:$F$12*($C$2:$C$12=$Q$2))</f>
        <v>1.5529999999999999</v>
      </c>
      <c r="Y437" s="3">
        <f t="shared" si="36"/>
        <v>227.09518999999997</v>
      </c>
      <c r="Z437" s="3">
        <v>149.71</v>
      </c>
      <c r="AA437" s="2" cm="1">
        <f t="array" ref="AA437">SUM($F$2:$F$12*($C$2:$C$12=$Q$3))</f>
        <v>0.72209999999999996</v>
      </c>
      <c r="AB437" s="3">
        <f t="shared" si="37"/>
        <v>108.105591</v>
      </c>
      <c r="AC437" s="3">
        <v>15.99</v>
      </c>
      <c r="AD437" s="2" cm="1">
        <f t="array" ref="AD437">SUM($F$2:$F$12*($C$2:$C$12=$Q$4))</f>
        <v>40.53</v>
      </c>
      <c r="AE437" s="3">
        <f t="shared" si="38"/>
        <v>648.07470000000001</v>
      </c>
      <c r="AF437" s="3">
        <v>12.48</v>
      </c>
      <c r="AG437" s="2" cm="1">
        <f t="array" ref="AG437">SUM($F$2:$F$12*($C$2:$C$12=$Q$5))</f>
        <v>8.7029999999999994</v>
      </c>
      <c r="AH437" s="3">
        <f t="shared" si="39"/>
        <v>108.61344</v>
      </c>
      <c r="AI437" s="3">
        <v>17.940000000000001</v>
      </c>
      <c r="AJ437" s="2" cm="1">
        <f t="array" ref="AJ437">SUM($F$2:$F$12*($C$2:$C$12=$Q$6))</f>
        <v>0</v>
      </c>
      <c r="AK437" s="3">
        <f t="shared" si="40"/>
        <v>0</v>
      </c>
      <c r="AL437" s="3">
        <v>11.39</v>
      </c>
      <c r="AM437" s="2" cm="1">
        <f t="array" ref="AM437">SUM($F$2:$F$12*($C$2:$C$12=$Q$8))</f>
        <v>0</v>
      </c>
      <c r="AN437" s="3">
        <f t="shared" si="41"/>
        <v>0</v>
      </c>
      <c r="AO437" s="3">
        <f>SUM(J2:J12)</f>
        <v>820</v>
      </c>
      <c r="AP4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1911.888921</v>
      </c>
      <c r="AQ437" s="3" cm="1">
        <f t="array" aca="1" ref="AQ437" ca="1">OFFSET(Table7[[#This Row],[Investment Increase]],0,-1)-SUM($J$2:$J$12*($E$2:$E$12=$Q$31))</f>
        <v>111.88892099999998</v>
      </c>
    </row>
    <row r="438" spans="22:43" x14ac:dyDescent="0.45">
      <c r="V438" s="9">
        <v>44112</v>
      </c>
      <c r="W438" s="3">
        <v>144.22</v>
      </c>
      <c r="X438" s="2" cm="1">
        <f t="array" ref="X438">SUM($F$2:$F$12*($C$2:$C$12=$Q$2))</f>
        <v>1.5529999999999999</v>
      </c>
      <c r="Y438" s="3">
        <f t="shared" si="36"/>
        <v>223.97366</v>
      </c>
      <c r="Z438" s="3">
        <v>147.44</v>
      </c>
      <c r="AA438" s="2" cm="1">
        <f t="array" ref="AA438">SUM($F$2:$F$12*($C$2:$C$12=$Q$3))</f>
        <v>0.72209999999999996</v>
      </c>
      <c r="AB438" s="3">
        <f t="shared" si="37"/>
        <v>106.46642399999999</v>
      </c>
      <c r="AC438" s="3">
        <v>15.76</v>
      </c>
      <c r="AD438" s="2" cm="1">
        <f t="array" ref="AD438">SUM($F$2:$F$12*($C$2:$C$12=$Q$4))</f>
        <v>40.53</v>
      </c>
      <c r="AE438" s="3">
        <f t="shared" si="38"/>
        <v>638.75279999999998</v>
      </c>
      <c r="AF438" s="3">
        <v>12.37</v>
      </c>
      <c r="AG438" s="2" cm="1">
        <f t="array" ref="AG438">SUM($F$2:$F$12*($C$2:$C$12=$Q$5))</f>
        <v>8.7029999999999994</v>
      </c>
      <c r="AH438" s="3">
        <f t="shared" si="39"/>
        <v>107.65610999999998</v>
      </c>
      <c r="AI438" s="3">
        <v>17.77</v>
      </c>
      <c r="AJ438" s="2" cm="1">
        <f t="array" ref="AJ438">SUM($F$2:$F$12*($C$2:$C$12=$Q$6))</f>
        <v>0</v>
      </c>
      <c r="AK438" s="3">
        <f t="shared" si="40"/>
        <v>0</v>
      </c>
      <c r="AL438" s="3">
        <v>11.27</v>
      </c>
      <c r="AM438" s="2" cm="1">
        <f t="array" ref="AM438">SUM($F$2:$F$12*($C$2:$C$12=$Q$8))</f>
        <v>0</v>
      </c>
      <c r="AN438" s="3">
        <f t="shared" si="41"/>
        <v>0</v>
      </c>
      <c r="AO438" s="3">
        <f>SUM(J2:J12)</f>
        <v>820</v>
      </c>
      <c r="AP4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1896.8489939999999</v>
      </c>
      <c r="AQ438" s="3" cm="1">
        <f t="array" aca="1" ref="AQ438" ca="1">OFFSET(Table7[[#This Row],[Investment Increase]],0,-1)-SUM($J$2:$J$12*($E$2:$E$12=$Q$31))</f>
        <v>96.848993999999948</v>
      </c>
    </row>
    <row r="439" spans="22:43" x14ac:dyDescent="0.45">
      <c r="V439" s="9">
        <v>44111</v>
      </c>
      <c r="W439" s="3">
        <v>143.5</v>
      </c>
      <c r="X439" s="2" cm="1">
        <f t="array" ref="X439">SUM($F$2:$F$12*($C$2:$C$12=$Q$2))</f>
        <v>1.5529999999999999</v>
      </c>
      <c r="Y439" s="3">
        <f t="shared" si="36"/>
        <v>222.85549999999998</v>
      </c>
      <c r="Z439" s="3">
        <v>146.91</v>
      </c>
      <c r="AA439" s="2" cm="1">
        <f t="array" ref="AA439">SUM($F$2:$F$12*($C$2:$C$12=$Q$3))</f>
        <v>0.72209999999999996</v>
      </c>
      <c r="AB439" s="3">
        <f t="shared" si="37"/>
        <v>106.08371099999999</v>
      </c>
      <c r="AC439" s="3">
        <v>15.68</v>
      </c>
      <c r="AD439" s="2" cm="1">
        <f t="array" ref="AD439">SUM($F$2:$F$12*($C$2:$C$12=$Q$4))</f>
        <v>40.53</v>
      </c>
      <c r="AE439" s="3">
        <f t="shared" si="38"/>
        <v>635.5104</v>
      </c>
      <c r="AF439" s="3">
        <v>12.27</v>
      </c>
      <c r="AG439" s="2" cm="1">
        <f t="array" ref="AG439">SUM($F$2:$F$12*($C$2:$C$12=$Q$5))</f>
        <v>8.7029999999999994</v>
      </c>
      <c r="AH439" s="3">
        <f t="shared" si="39"/>
        <v>106.78580999999998</v>
      </c>
      <c r="AI439" s="3">
        <v>17.64</v>
      </c>
      <c r="AJ439" s="2" cm="1">
        <f t="array" ref="AJ439">SUM($F$2:$F$12*($C$2:$C$12=$Q$6))</f>
        <v>0</v>
      </c>
      <c r="AK439" s="3">
        <f t="shared" si="40"/>
        <v>0</v>
      </c>
      <c r="AL439" s="3">
        <v>11.1</v>
      </c>
      <c r="AM439" s="2" cm="1">
        <f t="array" ref="AM439">SUM($F$2:$F$12*($C$2:$C$12=$Q$8))</f>
        <v>0</v>
      </c>
      <c r="AN439" s="3">
        <f t="shared" si="41"/>
        <v>0</v>
      </c>
      <c r="AO439" s="3">
        <f>SUM(J2:J12)</f>
        <v>820</v>
      </c>
      <c r="AP4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1891.2354210000001</v>
      </c>
      <c r="AQ439" s="3" cm="1">
        <f t="array" aca="1" ref="AQ439" ca="1">OFFSET(Table7[[#This Row],[Investment Increase]],0,-1)-SUM($J$2:$J$12*($E$2:$E$12=$Q$31))</f>
        <v>91.235421000000088</v>
      </c>
    </row>
    <row r="440" spans="22:43" x14ac:dyDescent="0.45">
      <c r="V440" s="9">
        <v>44110</v>
      </c>
      <c r="W440" s="3">
        <v>140.85</v>
      </c>
      <c r="X440" s="2" cm="1">
        <f t="array" ref="X440">SUM($F$2:$F$12*($C$2:$C$12=$Q$2))</f>
        <v>1.5529999999999999</v>
      </c>
      <c r="Y440" s="3">
        <f t="shared" si="36"/>
        <v>218.74004999999997</v>
      </c>
      <c r="Z440" s="3">
        <v>143.96</v>
      </c>
      <c r="AA440" s="2" cm="1">
        <f t="array" ref="AA440">SUM($F$2:$F$12*($C$2:$C$12=$Q$3))</f>
        <v>0.72209999999999996</v>
      </c>
      <c r="AB440" s="3">
        <f t="shared" si="37"/>
        <v>103.95351600000001</v>
      </c>
      <c r="AC440" s="3">
        <v>15.41</v>
      </c>
      <c r="AD440" s="2" cm="1">
        <f t="array" ref="AD440">SUM($F$2:$F$12*($C$2:$C$12=$Q$4))</f>
        <v>40.53</v>
      </c>
      <c r="AE440" s="3">
        <f t="shared" si="38"/>
        <v>624.56730000000005</v>
      </c>
      <c r="AF440" s="3">
        <v>12.06</v>
      </c>
      <c r="AG440" s="2" cm="1">
        <f t="array" ref="AG440">SUM($F$2:$F$12*($C$2:$C$12=$Q$5))</f>
        <v>8.7029999999999994</v>
      </c>
      <c r="AH440" s="3">
        <f t="shared" si="39"/>
        <v>104.95818</v>
      </c>
      <c r="AI440" s="3">
        <v>17.329999999999998</v>
      </c>
      <c r="AJ440" s="2" cm="1">
        <f t="array" ref="AJ440">SUM($F$2:$F$12*($C$2:$C$12=$Q$6))</f>
        <v>0</v>
      </c>
      <c r="AK440" s="3">
        <f t="shared" si="40"/>
        <v>0</v>
      </c>
      <c r="AL440" s="3">
        <v>10.92</v>
      </c>
      <c r="AM440" s="2" cm="1">
        <f t="array" ref="AM440">SUM($F$2:$F$12*($C$2:$C$12=$Q$8))</f>
        <v>0</v>
      </c>
      <c r="AN440" s="3">
        <f t="shared" si="41"/>
        <v>0</v>
      </c>
      <c r="AO440" s="3">
        <f>SUM(J2:J12)</f>
        <v>820</v>
      </c>
      <c r="AP4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1872.2190460000002</v>
      </c>
      <c r="AQ440" s="3" cm="1">
        <f t="array" aca="1" ref="AQ440" ca="1">OFFSET(Table7[[#This Row],[Investment Increase]],0,-1)-SUM($J$2:$J$12*($E$2:$E$12=$Q$31))</f>
        <v>72.219046000000162</v>
      </c>
    </row>
    <row r="441" spans="22:43" x14ac:dyDescent="0.45">
      <c r="V441" s="9">
        <v>44109</v>
      </c>
      <c r="W441" s="3">
        <v>143.09</v>
      </c>
      <c r="X441" s="2" cm="1">
        <f t="array" ref="X441">SUM($F$2:$F$12*($C$2:$C$12=$Q$2))</f>
        <v>1.5529999999999999</v>
      </c>
      <c r="Y441" s="3">
        <f t="shared" si="36"/>
        <v>222.21877000000001</v>
      </c>
      <c r="Z441" s="3">
        <v>146.21</v>
      </c>
      <c r="AA441" s="2" cm="1">
        <f t="array" ref="AA441">SUM($F$2:$F$12*($C$2:$C$12=$Q$3))</f>
        <v>0.72209999999999996</v>
      </c>
      <c r="AB441" s="3">
        <f t="shared" si="37"/>
        <v>105.57824100000001</v>
      </c>
      <c r="AC441" s="3">
        <v>15.68</v>
      </c>
      <c r="AD441" s="2" cm="1">
        <f t="array" ref="AD441">SUM($F$2:$F$12*($C$2:$C$12=$Q$4))</f>
        <v>40.53</v>
      </c>
      <c r="AE441" s="3">
        <f t="shared" si="38"/>
        <v>635.5104</v>
      </c>
      <c r="AF441" s="3">
        <v>12.23</v>
      </c>
      <c r="AG441" s="2" cm="1">
        <f t="array" ref="AG441">SUM($F$2:$F$12*($C$2:$C$12=$Q$5))</f>
        <v>8.7029999999999994</v>
      </c>
      <c r="AH441" s="3">
        <f t="shared" si="39"/>
        <v>106.43769</v>
      </c>
      <c r="AI441" s="3">
        <v>17.57</v>
      </c>
      <c r="AJ441" s="2" cm="1">
        <f t="array" ref="AJ441">SUM($F$2:$F$12*($C$2:$C$12=$Q$6))</f>
        <v>0</v>
      </c>
      <c r="AK441" s="3">
        <f t="shared" si="40"/>
        <v>0</v>
      </c>
      <c r="AL441" s="3">
        <v>11.1</v>
      </c>
      <c r="AM441" s="2" cm="1">
        <f t="array" ref="AM441">SUM($F$2:$F$12*($C$2:$C$12=$Q$8))</f>
        <v>0</v>
      </c>
      <c r="AN441" s="3">
        <f t="shared" si="41"/>
        <v>0</v>
      </c>
      <c r="AO441" s="3">
        <f>SUM(J2:J12)</f>
        <v>820</v>
      </c>
      <c r="AP4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1889.745101</v>
      </c>
      <c r="AQ441" s="3" cm="1">
        <f t="array" aca="1" ref="AQ441" ca="1">OFFSET(Table7[[#This Row],[Investment Increase]],0,-1)-SUM($J$2:$J$12*($E$2:$E$12=$Q$31))</f>
        <v>89.745100999999977</v>
      </c>
    </row>
    <row r="442" spans="22:43" x14ac:dyDescent="0.45">
      <c r="V442" s="9">
        <v>44106</v>
      </c>
      <c r="W442" s="3">
        <v>139.83000000000001</v>
      </c>
      <c r="X442" s="2" cm="1">
        <f t="array" ref="X442">SUM($F$2:$F$12*($C$2:$C$12=$Q$2))</f>
        <v>1.5529999999999999</v>
      </c>
      <c r="Y442" s="3">
        <f t="shared" si="36"/>
        <v>217.15599</v>
      </c>
      <c r="Z442" s="3">
        <v>143.26</v>
      </c>
      <c r="AA442" s="2" cm="1">
        <f t="array" ref="AA442">SUM($F$2:$F$12*($C$2:$C$12=$Q$3))</f>
        <v>0.72209999999999996</v>
      </c>
      <c r="AB442" s="3">
        <f t="shared" si="37"/>
        <v>103.44804599999999</v>
      </c>
      <c r="AC442" s="3">
        <v>15.35</v>
      </c>
      <c r="AD442" s="2" cm="1">
        <f t="array" ref="AD442">SUM($F$2:$F$12*($C$2:$C$12=$Q$4))</f>
        <v>40.53</v>
      </c>
      <c r="AE442" s="3">
        <f t="shared" si="38"/>
        <v>622.13549999999998</v>
      </c>
      <c r="AF442" s="3">
        <v>12.01</v>
      </c>
      <c r="AG442" s="2" cm="1">
        <f t="array" ref="AG442">SUM($F$2:$F$12*($C$2:$C$12=$Q$5))</f>
        <v>8.7029999999999994</v>
      </c>
      <c r="AH442" s="3">
        <f t="shared" si="39"/>
        <v>104.52302999999999</v>
      </c>
      <c r="AI442" s="3">
        <v>17.260000000000002</v>
      </c>
      <c r="AJ442" s="2" cm="1">
        <f t="array" ref="AJ442">SUM($F$2:$F$12*($C$2:$C$12=$Q$6))</f>
        <v>0</v>
      </c>
      <c r="AK442" s="3">
        <f t="shared" si="40"/>
        <v>0</v>
      </c>
      <c r="AL442" s="3">
        <v>10.85</v>
      </c>
      <c r="AM442" s="2" cm="1">
        <f t="array" ref="AM442">SUM($F$2:$F$12*($C$2:$C$12=$Q$8))</f>
        <v>0</v>
      </c>
      <c r="AN442" s="3">
        <f t="shared" si="41"/>
        <v>0</v>
      </c>
      <c r="AO442" s="3">
        <f>SUM(J2:J12)</f>
        <v>820</v>
      </c>
      <c r="AP4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1867.2625660000001</v>
      </c>
      <c r="AQ442" s="3" cm="1">
        <f t="array" aca="1" ref="AQ442" ca="1">OFFSET(Table7[[#This Row],[Investment Increase]],0,-1)-SUM($J$2:$J$12*($E$2:$E$12=$Q$31))</f>
        <v>67.262566000000106</v>
      </c>
    </row>
    <row r="443" spans="22:43" x14ac:dyDescent="0.45">
      <c r="V443" s="9">
        <v>44105</v>
      </c>
      <c r="W443" s="3">
        <v>143.01</v>
      </c>
      <c r="X443" s="2" cm="1">
        <f t="array" ref="X443">SUM($F$2:$F$12*($C$2:$C$12=$Q$2))</f>
        <v>1.5529999999999999</v>
      </c>
      <c r="Y443" s="3">
        <f t="shared" si="36"/>
        <v>222.09452999999996</v>
      </c>
      <c r="Z443" s="3">
        <v>146.22</v>
      </c>
      <c r="AA443" s="2" cm="1">
        <f t="array" ref="AA443">SUM($F$2:$F$12*($C$2:$C$12=$Q$3))</f>
        <v>0.72209999999999996</v>
      </c>
      <c r="AB443" s="3">
        <f t="shared" si="37"/>
        <v>105.58546199999999</v>
      </c>
      <c r="AC443" s="3">
        <v>15.72</v>
      </c>
      <c r="AD443" s="2" cm="1">
        <f t="array" ref="AD443">SUM($F$2:$F$12*($C$2:$C$12=$Q$4))</f>
        <v>40.53</v>
      </c>
      <c r="AE443" s="3">
        <f t="shared" si="38"/>
        <v>637.13160000000005</v>
      </c>
      <c r="AF443" s="3">
        <v>12.14</v>
      </c>
      <c r="AG443" s="2" cm="1">
        <f t="array" ref="AG443">SUM($F$2:$F$12*($C$2:$C$12=$Q$5))</f>
        <v>8.7029999999999994</v>
      </c>
      <c r="AH443" s="3">
        <f t="shared" si="39"/>
        <v>105.65442</v>
      </c>
      <c r="AI443" s="3">
        <v>17.43</v>
      </c>
      <c r="AJ443" s="2" cm="1">
        <f t="array" ref="AJ443">SUM($F$2:$F$12*($C$2:$C$12=$Q$6))</f>
        <v>0</v>
      </c>
      <c r="AK443" s="3">
        <f t="shared" si="40"/>
        <v>0</v>
      </c>
      <c r="AL443" s="3">
        <v>10.85</v>
      </c>
      <c r="AM443" s="2" cm="1">
        <f t="array" ref="AM443">SUM($F$2:$F$12*($C$2:$C$12=$Q$8))</f>
        <v>0</v>
      </c>
      <c r="AN443" s="3">
        <f t="shared" si="41"/>
        <v>0</v>
      </c>
      <c r="AO443" s="3">
        <f>SUM(J2:J12)</f>
        <v>820</v>
      </c>
      <c r="AP4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1890.4660120000001</v>
      </c>
      <c r="AQ443" s="3" cm="1">
        <f t="array" aca="1" ref="AQ443" ca="1">OFFSET(Table7[[#This Row],[Investment Increase]],0,-1)-SUM($J$2:$J$12*($E$2:$E$12=$Q$31))</f>
        <v>90.466012000000092</v>
      </c>
    </row>
    <row r="444" spans="22:43" x14ac:dyDescent="0.45">
      <c r="V444" s="9">
        <v>44104</v>
      </c>
      <c r="W444" s="3">
        <v>140.97999999999999</v>
      </c>
      <c r="X444" s="2" cm="1">
        <f t="array" ref="X444">SUM($F$2:$F$12*($C$2:$C$12=$Q$2))</f>
        <v>1.5529999999999999</v>
      </c>
      <c r="Y444" s="3">
        <f t="shared" si="36"/>
        <v>218.94193999999999</v>
      </c>
      <c r="Z444" s="3">
        <v>143.71</v>
      </c>
      <c r="AA444" s="2" cm="1">
        <f t="array" ref="AA444">SUM($F$2:$F$12*($C$2:$C$12=$Q$3))</f>
        <v>0.72209999999999996</v>
      </c>
      <c r="AB444" s="3">
        <f t="shared" si="37"/>
        <v>103.772991</v>
      </c>
      <c r="AC444" s="3">
        <v>15.49</v>
      </c>
      <c r="AD444" s="2" cm="1">
        <f t="array" ref="AD444">SUM($F$2:$F$12*($C$2:$C$12=$Q$4))</f>
        <v>40.53</v>
      </c>
      <c r="AE444" s="3">
        <f t="shared" si="38"/>
        <v>627.80970000000002</v>
      </c>
      <c r="AF444" s="3">
        <v>12.06</v>
      </c>
      <c r="AG444" s="2" cm="1">
        <f t="array" ref="AG444">SUM($F$2:$F$12*($C$2:$C$12=$Q$5))</f>
        <v>8.7029999999999994</v>
      </c>
      <c r="AH444" s="3">
        <f t="shared" si="39"/>
        <v>104.95818</v>
      </c>
      <c r="AI444" s="3">
        <v>17.32</v>
      </c>
      <c r="AJ444" s="2" cm="1">
        <f t="array" ref="AJ444">SUM($F$2:$F$12*($C$2:$C$12=$Q$6))</f>
        <v>0</v>
      </c>
      <c r="AK444" s="3">
        <f t="shared" si="40"/>
        <v>0</v>
      </c>
      <c r="AL444" s="3">
        <v>10.91</v>
      </c>
      <c r="AM444" s="2" cm="1">
        <f t="array" ref="AM444">SUM($F$2:$F$12*($C$2:$C$12=$Q$8))</f>
        <v>0</v>
      </c>
      <c r="AN444" s="3">
        <f t="shared" si="41"/>
        <v>0</v>
      </c>
      <c r="AO444" s="3">
        <f>SUM(J2:J12)</f>
        <v>820</v>
      </c>
      <c r="AP4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1875.4828110000001</v>
      </c>
      <c r="AQ444" s="3" cm="1">
        <f t="array" aca="1" ref="AQ444" ca="1">OFFSET(Table7[[#This Row],[Investment Increase]],0,-1)-SUM($J$2:$J$12*($E$2:$E$12=$Q$31))</f>
        <v>75.482811000000083</v>
      </c>
    </row>
    <row r="445" spans="22:43" x14ac:dyDescent="0.45">
      <c r="V445" s="9">
        <v>44103</v>
      </c>
      <c r="W445" s="3">
        <v>139.94</v>
      </c>
      <c r="X445" s="2" cm="1">
        <f t="array" ref="X445">SUM($F$2:$F$12*($C$2:$C$12=$Q$2))</f>
        <v>1.5529999999999999</v>
      </c>
      <c r="Y445" s="3">
        <f t="shared" si="36"/>
        <v>217.32682</v>
      </c>
      <c r="Z445" s="3">
        <v>142.44999999999999</v>
      </c>
      <c r="AA445" s="2" cm="1">
        <f t="array" ref="AA445">SUM($F$2:$F$12*($C$2:$C$12=$Q$3))</f>
        <v>0.72209999999999996</v>
      </c>
      <c r="AB445" s="3">
        <f t="shared" si="37"/>
        <v>102.86314499999999</v>
      </c>
      <c r="AC445" s="3">
        <v>15.38</v>
      </c>
      <c r="AD445" s="2" cm="1">
        <f t="array" ref="AD445">SUM($F$2:$F$12*($C$2:$C$12=$Q$4))</f>
        <v>40.53</v>
      </c>
      <c r="AE445" s="3">
        <f t="shared" si="38"/>
        <v>623.35140000000001</v>
      </c>
      <c r="AF445" s="3">
        <v>11.96</v>
      </c>
      <c r="AG445" s="2" cm="1">
        <f t="array" ref="AG445">SUM($F$2:$F$12*($C$2:$C$12=$Q$5))</f>
        <v>8.7029999999999994</v>
      </c>
      <c r="AH445" s="3">
        <f t="shared" si="39"/>
        <v>104.08788</v>
      </c>
      <c r="AI445" s="3">
        <v>17.170000000000002</v>
      </c>
      <c r="AJ445" s="2" cm="1">
        <f t="array" ref="AJ445">SUM($F$2:$F$12*($C$2:$C$12=$Q$6))</f>
        <v>0</v>
      </c>
      <c r="AK445" s="3">
        <f t="shared" si="40"/>
        <v>0</v>
      </c>
      <c r="AL445" s="3">
        <v>10.84</v>
      </c>
      <c r="AM445" s="2" cm="1">
        <f t="array" ref="AM445">SUM($F$2:$F$12*($C$2:$C$12=$Q$8))</f>
        <v>0</v>
      </c>
      <c r="AN445" s="3">
        <f t="shared" si="41"/>
        <v>0</v>
      </c>
      <c r="AO445" s="3">
        <f>SUM(J2:J12)</f>
        <v>820</v>
      </c>
      <c r="AP4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1867.6292450000001</v>
      </c>
      <c r="AQ445" s="3" cm="1">
        <f t="array" aca="1" ref="AQ445" ca="1">OFFSET(Table7[[#This Row],[Investment Increase]],0,-1)-SUM($J$2:$J$12*($E$2:$E$12=$Q$31))</f>
        <v>67.629245000000083</v>
      </c>
    </row>
    <row r="446" spans="22:43" x14ac:dyDescent="0.45">
      <c r="V446" s="9">
        <v>44102</v>
      </c>
      <c r="W446" s="3">
        <v>140.34</v>
      </c>
      <c r="X446" s="2" cm="1">
        <f t="array" ref="X446">SUM($F$2:$F$12*($C$2:$C$12=$Q$2))</f>
        <v>1.5529999999999999</v>
      </c>
      <c r="Y446" s="3">
        <f t="shared" si="36"/>
        <v>217.94801999999999</v>
      </c>
      <c r="Z446" s="3">
        <v>142.62</v>
      </c>
      <c r="AA446" s="2" cm="1">
        <f t="array" ref="AA446">SUM($F$2:$F$12*($C$2:$C$12=$Q$3))</f>
        <v>0.72209999999999996</v>
      </c>
      <c r="AB446" s="3">
        <f t="shared" si="37"/>
        <v>102.985902</v>
      </c>
      <c r="AC446" s="3">
        <v>15.41</v>
      </c>
      <c r="AD446" s="2" cm="1">
        <f t="array" ref="AD446">SUM($F$2:$F$12*($C$2:$C$12=$Q$4))</f>
        <v>40.53</v>
      </c>
      <c r="AE446" s="3">
        <f t="shared" si="38"/>
        <v>624.56730000000005</v>
      </c>
      <c r="AF446" s="3">
        <v>12.01</v>
      </c>
      <c r="AG446" s="2" cm="1">
        <f t="array" ref="AG446">SUM($F$2:$F$12*($C$2:$C$12=$Q$5))</f>
        <v>8.7029999999999994</v>
      </c>
      <c r="AH446" s="3">
        <f t="shared" si="39"/>
        <v>104.52302999999999</v>
      </c>
      <c r="AI446" s="3">
        <v>17.260000000000002</v>
      </c>
      <c r="AJ446" s="2" cm="1">
        <f t="array" ref="AJ446">SUM($F$2:$F$12*($C$2:$C$12=$Q$6))</f>
        <v>0</v>
      </c>
      <c r="AK446" s="3">
        <f t="shared" si="40"/>
        <v>0</v>
      </c>
      <c r="AL446" s="3">
        <v>10.94</v>
      </c>
      <c r="AM446" s="2" cm="1">
        <f t="array" ref="AM446">SUM($F$2:$F$12*($C$2:$C$12=$Q$8))</f>
        <v>0</v>
      </c>
      <c r="AN446" s="3">
        <f t="shared" si="41"/>
        <v>0</v>
      </c>
      <c r="AO446" s="3">
        <f>SUM(J2:J12)</f>
        <v>820</v>
      </c>
      <c r="AP4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1870.0242520000002</v>
      </c>
      <c r="AQ446" s="3" cm="1">
        <f t="array" aca="1" ref="AQ446" ca="1">OFFSET(Table7[[#This Row],[Investment Increase]],0,-1)-SUM($J$2:$J$12*($E$2:$E$12=$Q$31))</f>
        <v>70.02425200000016</v>
      </c>
    </row>
    <row r="447" spans="22:43" x14ac:dyDescent="0.45">
      <c r="V447" s="9">
        <v>44099</v>
      </c>
      <c r="W447" s="3">
        <v>137.76</v>
      </c>
      <c r="X447" s="2" cm="1">
        <f t="array" ref="X447">SUM($F$2:$F$12*($C$2:$C$12=$Q$2))</f>
        <v>1.5529999999999999</v>
      </c>
      <c r="Y447" s="3">
        <f t="shared" si="36"/>
        <v>213.94127999999998</v>
      </c>
      <c r="Z447" s="3">
        <v>140.02000000000001</v>
      </c>
      <c r="AA447" s="2" cm="1">
        <f t="array" ref="AA447">SUM($F$2:$F$12*($C$2:$C$12=$Q$3))</f>
        <v>0.72209999999999996</v>
      </c>
      <c r="AB447" s="3">
        <f t="shared" si="37"/>
        <v>101.108442</v>
      </c>
      <c r="AC447" s="3">
        <v>15.15</v>
      </c>
      <c r="AD447" s="2" cm="1">
        <f t="array" ref="AD447">SUM($F$2:$F$12*($C$2:$C$12=$Q$4))</f>
        <v>40.53</v>
      </c>
      <c r="AE447" s="3">
        <f t="shared" si="38"/>
        <v>614.02949999999998</v>
      </c>
      <c r="AF447" s="3">
        <v>11.82</v>
      </c>
      <c r="AG447" s="2" cm="1">
        <f t="array" ref="AG447">SUM($F$2:$F$12*($C$2:$C$12=$Q$5))</f>
        <v>8.7029999999999994</v>
      </c>
      <c r="AH447" s="3">
        <f t="shared" si="39"/>
        <v>102.86945999999999</v>
      </c>
      <c r="AI447" s="3">
        <v>16.989999999999998</v>
      </c>
      <c r="AJ447" s="2" cm="1">
        <f t="array" ref="AJ447">SUM($F$2:$F$12*($C$2:$C$12=$Q$6))</f>
        <v>0</v>
      </c>
      <c r="AK447" s="3">
        <f t="shared" si="40"/>
        <v>0</v>
      </c>
      <c r="AL447" s="3">
        <v>10.84</v>
      </c>
      <c r="AM447" s="2" cm="1">
        <f t="array" ref="AM447">SUM($F$2:$F$12*($C$2:$C$12=$Q$8))</f>
        <v>0</v>
      </c>
      <c r="AN447" s="3">
        <f t="shared" si="41"/>
        <v>0</v>
      </c>
      <c r="AO447" s="3">
        <f>SUM(J2:J12)</f>
        <v>820</v>
      </c>
      <c r="AP4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1851.948682</v>
      </c>
      <c r="AQ447" s="3" cm="1">
        <f t="array" aca="1" ref="AQ447" ca="1">OFFSET(Table7[[#This Row],[Investment Increase]],0,-1)-SUM($J$2:$J$12*($E$2:$E$12=$Q$31))</f>
        <v>51.948681999999962</v>
      </c>
    </row>
    <row r="448" spans="22:43" x14ac:dyDescent="0.45">
      <c r="V448" s="9">
        <v>44098</v>
      </c>
      <c r="W448" s="3">
        <v>134.72</v>
      </c>
      <c r="X448" s="2" cm="1">
        <f t="array" ref="X448">SUM($F$2:$F$12*($C$2:$C$12=$Q$2))</f>
        <v>1.5529999999999999</v>
      </c>
      <c r="Y448" s="3">
        <f t="shared" si="36"/>
        <v>209.22015999999999</v>
      </c>
      <c r="Z448" s="3">
        <v>136.9</v>
      </c>
      <c r="AA448" s="2" cm="1">
        <f t="array" ref="AA448">SUM($F$2:$F$12*($C$2:$C$12=$Q$3))</f>
        <v>0.72209999999999996</v>
      </c>
      <c r="AB448" s="3">
        <f t="shared" si="37"/>
        <v>98.855490000000003</v>
      </c>
      <c r="AC448" s="3">
        <v>14.83</v>
      </c>
      <c r="AD448" s="2" cm="1">
        <f t="array" ref="AD448">SUM($F$2:$F$12*($C$2:$C$12=$Q$4))</f>
        <v>40.53</v>
      </c>
      <c r="AE448" s="3">
        <f t="shared" si="38"/>
        <v>601.05989999999997</v>
      </c>
      <c r="AF448" s="3">
        <v>11.63</v>
      </c>
      <c r="AG448" s="2" cm="1">
        <f t="array" ref="AG448">SUM($F$2:$F$12*($C$2:$C$12=$Q$5))</f>
        <v>8.7029999999999994</v>
      </c>
      <c r="AH448" s="3">
        <f t="shared" si="39"/>
        <v>101.21589</v>
      </c>
      <c r="AI448" s="3">
        <v>16.72</v>
      </c>
      <c r="AJ448" s="2" cm="1">
        <f t="array" ref="AJ448">SUM($F$2:$F$12*($C$2:$C$12=$Q$6))</f>
        <v>0</v>
      </c>
      <c r="AK448" s="3">
        <f t="shared" si="40"/>
        <v>0</v>
      </c>
      <c r="AL448" s="3">
        <v>10.82</v>
      </c>
      <c r="AM448" s="2" cm="1">
        <f t="array" ref="AM448">SUM($F$2:$F$12*($C$2:$C$12=$Q$8))</f>
        <v>0</v>
      </c>
      <c r="AN448" s="3">
        <f t="shared" si="41"/>
        <v>0</v>
      </c>
      <c r="AO448" s="3">
        <f>SUM(J2:J12)</f>
        <v>820</v>
      </c>
      <c r="AP4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1830.3514399999999</v>
      </c>
      <c r="AQ448" s="3" cm="1">
        <f t="array" aca="1" ref="AQ448" ca="1">OFFSET(Table7[[#This Row],[Investment Increase]],0,-1)-SUM($J$2:$J$12*($E$2:$E$12=$Q$31))</f>
        <v>30.351439999999911</v>
      </c>
    </row>
    <row r="449" spans="22:43" x14ac:dyDescent="0.45">
      <c r="V449" s="9">
        <v>44097</v>
      </c>
      <c r="W449" s="3">
        <v>134.21</v>
      </c>
      <c r="X449" s="2" cm="1">
        <f t="array" ref="X449">SUM($F$2:$F$12*($C$2:$C$12=$Q$2))</f>
        <v>1.5529999999999999</v>
      </c>
      <c r="Y449" s="3">
        <f t="shared" si="36"/>
        <v>208.42813000000001</v>
      </c>
      <c r="Z449" s="3">
        <v>136.80000000000001</v>
      </c>
      <c r="AA449" s="2" cm="1">
        <f t="array" ref="AA449">SUM($F$2:$F$12*($C$2:$C$12=$Q$3))</f>
        <v>0.72209999999999996</v>
      </c>
      <c r="AB449" s="3">
        <f t="shared" si="37"/>
        <v>98.783280000000005</v>
      </c>
      <c r="AC449" s="3">
        <v>14.79</v>
      </c>
      <c r="AD449" s="2" cm="1">
        <f t="array" ref="AD449">SUM($F$2:$F$12*($C$2:$C$12=$Q$4))</f>
        <v>40.53</v>
      </c>
      <c r="AE449" s="3">
        <f t="shared" si="38"/>
        <v>599.43869999999993</v>
      </c>
      <c r="AF449" s="3">
        <v>11.59</v>
      </c>
      <c r="AG449" s="2" cm="1">
        <f t="array" ref="AG449">SUM($F$2:$F$12*($C$2:$C$12=$Q$5))</f>
        <v>8.7029999999999994</v>
      </c>
      <c r="AH449" s="3">
        <f t="shared" si="39"/>
        <v>100.86776999999999</v>
      </c>
      <c r="AI449" s="3">
        <v>16.649999999999999</v>
      </c>
      <c r="AJ449" s="2" cm="1">
        <f t="array" ref="AJ449">SUM($F$2:$F$12*($C$2:$C$12=$Q$6))</f>
        <v>0</v>
      </c>
      <c r="AK449" s="3">
        <f t="shared" si="40"/>
        <v>0</v>
      </c>
      <c r="AL449" s="3">
        <v>10.75</v>
      </c>
      <c r="AM449" s="2" cm="1">
        <f t="array" ref="AM449">SUM($F$2:$F$12*($C$2:$C$12=$Q$8))</f>
        <v>0</v>
      </c>
      <c r="AN449" s="3">
        <f t="shared" si="41"/>
        <v>0</v>
      </c>
      <c r="AO449" s="3">
        <f>SUM(J2:J12)</f>
        <v>820</v>
      </c>
      <c r="AP4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1827.5178799999999</v>
      </c>
      <c r="AQ449" s="3" cm="1">
        <f t="array" aca="1" ref="AQ449" ca="1">OFFSET(Table7[[#This Row],[Investment Increase]],0,-1)-SUM($J$2:$J$12*($E$2:$E$12=$Q$31))</f>
        <v>27.517879999999877</v>
      </c>
    </row>
    <row r="450" spans="22:43" x14ac:dyDescent="0.45">
      <c r="V450" s="9">
        <v>44096</v>
      </c>
      <c r="W450" s="3">
        <v>138.38999999999999</v>
      </c>
      <c r="X450" s="2" cm="1">
        <f t="array" ref="X450">SUM($F$2:$F$12*($C$2:$C$12=$Q$2))</f>
        <v>1.5529999999999999</v>
      </c>
      <c r="Y450" s="3">
        <f t="shared" ref="Y450:Y498" si="42">PRODUCT(W450,X450)</f>
        <v>214.91966999999997</v>
      </c>
      <c r="Z450" s="3">
        <v>141.08000000000001</v>
      </c>
      <c r="AA450" s="2" cm="1">
        <f t="array" ref="AA450">SUM($F$2:$F$12*($C$2:$C$12=$Q$3))</f>
        <v>0.72209999999999996</v>
      </c>
      <c r="AB450" s="3">
        <f t="shared" ref="AB450:AB498" si="43">PRODUCT(Z450,AA450)</f>
        <v>101.873868</v>
      </c>
      <c r="AC450" s="3">
        <v>15.23</v>
      </c>
      <c r="AD450" s="2" cm="1">
        <f t="array" ref="AD450">SUM($F$2:$F$12*($C$2:$C$12=$Q$4))</f>
        <v>40.53</v>
      </c>
      <c r="AE450" s="3">
        <f t="shared" ref="AE450:AE498" si="44">PRODUCT(AC450,AD450)</f>
        <v>617.27190000000007</v>
      </c>
      <c r="AF450" s="3">
        <v>11.88</v>
      </c>
      <c r="AG450" s="2" cm="1">
        <f t="array" ref="AG450">SUM($F$2:$F$12*($C$2:$C$12=$Q$5))</f>
        <v>8.7029999999999994</v>
      </c>
      <c r="AH450" s="3">
        <f t="shared" ref="AH450:AH498" si="45">PRODUCT(AF450,AG450)</f>
        <v>103.39164</v>
      </c>
      <c r="AI450" s="3">
        <v>17.079999999999998</v>
      </c>
      <c r="AJ450" s="2" cm="1">
        <f t="array" ref="AJ450">SUM($F$2:$F$12*($C$2:$C$12=$Q$6))</f>
        <v>0</v>
      </c>
      <c r="AK450" s="3">
        <f t="shared" ref="AK450:AK498" si="46">PRODUCT(AI450,AJ450)</f>
        <v>0</v>
      </c>
      <c r="AL450" s="3">
        <v>11.07</v>
      </c>
      <c r="AM450" s="2" cm="1">
        <f t="array" ref="AM450">SUM($F$2:$F$12*($C$2:$C$12=$Q$8))</f>
        <v>0</v>
      </c>
      <c r="AN450" s="3">
        <f t="shared" ref="AN450:AN498" si="47">PRODUCT(AL450,AM450)</f>
        <v>0</v>
      </c>
      <c r="AO450" s="3">
        <f>SUM(J2:J12)</f>
        <v>820</v>
      </c>
      <c r="AP4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1857.4570780000001</v>
      </c>
      <c r="AQ450" s="3" cm="1">
        <f t="array" aca="1" ref="AQ450" ca="1">OFFSET(Table7[[#This Row],[Investment Increase]],0,-1)-SUM($J$2:$J$12*($E$2:$E$12=$Q$31))</f>
        <v>57.457078000000138</v>
      </c>
    </row>
    <row r="451" spans="22:43" x14ac:dyDescent="0.45">
      <c r="V451" s="9">
        <v>44095</v>
      </c>
      <c r="W451" s="3">
        <v>136.06</v>
      </c>
      <c r="X451" s="2" cm="1">
        <f t="array" ref="X451">SUM($F$2:$F$12*($C$2:$C$12=$Q$2))</f>
        <v>1.5529999999999999</v>
      </c>
      <c r="Y451" s="3">
        <f t="shared" si="42"/>
        <v>211.30117999999999</v>
      </c>
      <c r="Z451" s="3">
        <v>138.63</v>
      </c>
      <c r="AA451" s="2" cm="1">
        <f t="array" ref="AA451">SUM($F$2:$F$12*($C$2:$C$12=$Q$3))</f>
        <v>0.72209999999999996</v>
      </c>
      <c r="AB451" s="3">
        <f t="shared" si="43"/>
        <v>100.10472299999999</v>
      </c>
      <c r="AC451" s="3">
        <v>14.99</v>
      </c>
      <c r="AD451" s="2" cm="1">
        <f t="array" ref="AD451">SUM($F$2:$F$12*($C$2:$C$12=$Q$4))</f>
        <v>40.53</v>
      </c>
      <c r="AE451" s="3">
        <f t="shared" si="44"/>
        <v>607.54470000000003</v>
      </c>
      <c r="AF451" s="3">
        <v>11.76</v>
      </c>
      <c r="AG451" s="2" cm="1">
        <f t="array" ref="AG451">SUM($F$2:$F$12*($C$2:$C$12=$Q$5))</f>
        <v>8.7029999999999994</v>
      </c>
      <c r="AH451" s="3">
        <f t="shared" si="45"/>
        <v>102.34728</v>
      </c>
      <c r="AI451" s="3">
        <v>16.899999999999999</v>
      </c>
      <c r="AJ451" s="2" cm="1">
        <f t="array" ref="AJ451">SUM($F$2:$F$12*($C$2:$C$12=$Q$6))</f>
        <v>0</v>
      </c>
      <c r="AK451" s="3">
        <f t="shared" si="46"/>
        <v>0</v>
      </c>
      <c r="AL451" s="3">
        <v>11.11</v>
      </c>
      <c r="AM451" s="2" cm="1">
        <f t="array" ref="AM451">SUM($F$2:$F$12*($C$2:$C$12=$Q$8))</f>
        <v>0</v>
      </c>
      <c r="AN451" s="3">
        <f t="shared" si="47"/>
        <v>0</v>
      </c>
      <c r="AO451" s="3">
        <f>SUM(J2:J12)</f>
        <v>820</v>
      </c>
      <c r="AP4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1841.297883</v>
      </c>
      <c r="AQ451" s="3" cm="1">
        <f t="array" aca="1" ref="AQ451" ca="1">OFFSET(Table7[[#This Row],[Investment Increase]],0,-1)-SUM($J$2:$J$12*($E$2:$E$12=$Q$31))</f>
        <v>41.297882999999956</v>
      </c>
    </row>
    <row r="452" spans="22:43" x14ac:dyDescent="0.45">
      <c r="V452" s="9">
        <v>44092</v>
      </c>
      <c r="W452" s="3">
        <v>136.22999999999999</v>
      </c>
      <c r="X452" s="2" cm="1">
        <f t="array" ref="X452">SUM($F$2:$F$11*($C$2:$C$11=$Q$2))</f>
        <v>1.5529999999999999</v>
      </c>
      <c r="Y452" s="3">
        <f t="shared" si="42"/>
        <v>211.56518999999997</v>
      </c>
      <c r="Z452" s="3">
        <v>138.49</v>
      </c>
      <c r="AA452" s="2" cm="1">
        <f t="array" ref="AA452">SUM($F$2:$F$11*($C$2:$C$11=$Q$3))</f>
        <v>0.72209999999999996</v>
      </c>
      <c r="AB452" s="3">
        <f t="shared" si="43"/>
        <v>100.003629</v>
      </c>
      <c r="AC452" s="3">
        <v>15.02</v>
      </c>
      <c r="AD452" s="2" cm="1">
        <f t="array" ref="AD452">SUM($F$2:$F$11*($C$2:$C$11=$Q$4))</f>
        <v>35.204000000000001</v>
      </c>
      <c r="AE452" s="3">
        <f t="shared" si="44"/>
        <v>528.76408000000004</v>
      </c>
      <c r="AF452" s="3">
        <v>11.89</v>
      </c>
      <c r="AG452" s="2" cm="1">
        <f t="array" ref="AG452">SUM($F$2:$F$11*($C$2:$C$11=$Q$5))</f>
        <v>8.7029999999999994</v>
      </c>
      <c r="AH452" s="3">
        <f t="shared" si="45"/>
        <v>103.47866999999999</v>
      </c>
      <c r="AI452" s="3">
        <v>17.100000000000001</v>
      </c>
      <c r="AJ452" s="2" cm="1">
        <f t="array" ref="AJ452">SUM($F$2:$F$11*($C$2:$C$11=$Q$6))</f>
        <v>0</v>
      </c>
      <c r="AK452" s="3">
        <f t="shared" si="46"/>
        <v>0</v>
      </c>
      <c r="AL452" s="3">
        <v>11.56</v>
      </c>
      <c r="AM452" s="2" cm="1">
        <f t="array" ref="AM452">SUM($F$2:$F$11*($C$2:$C$11=$Q$8))</f>
        <v>0</v>
      </c>
      <c r="AN452" s="3">
        <f t="shared" si="47"/>
        <v>0</v>
      </c>
      <c r="AO452" s="3">
        <f>SUM(J2:J11)</f>
        <v>900</v>
      </c>
      <c r="AP4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1843.811569</v>
      </c>
      <c r="AQ452" s="3" cm="1">
        <f t="array" aca="1" ref="AQ452" ca="1">OFFSET(Table7[[#This Row],[Investment Increase]],0,-1)-SUM($J$2:$J$11*($E$2:$E$11=$Q$31))</f>
        <v>43.811568999999963</v>
      </c>
    </row>
    <row r="453" spans="22:43" x14ac:dyDescent="0.45">
      <c r="V453" s="9">
        <v>44091</v>
      </c>
      <c r="W453" s="3">
        <v>137.71</v>
      </c>
      <c r="X453" s="2" cm="1">
        <f t="array" ref="X453">SUM($F$2:$F$9*($C$2:$C$9=$Q$2))</f>
        <v>3.0209999999999999</v>
      </c>
      <c r="Y453" s="3">
        <f t="shared" si="42"/>
        <v>416.02190999999999</v>
      </c>
      <c r="Z453" s="3">
        <v>139.68</v>
      </c>
      <c r="AA453" s="2" cm="1">
        <f t="array" ref="AA453">SUM($F$2:$F$9*($C$2:$C$9=$Q$3))</f>
        <v>0</v>
      </c>
      <c r="AB453" s="3">
        <f t="shared" si="43"/>
        <v>0</v>
      </c>
      <c r="AC453" s="3">
        <v>15.19</v>
      </c>
      <c r="AD453" s="2" cm="1">
        <f t="array" ref="AD453">SUM($F$2:$F$9*($C$2:$C$9=$Q$4))</f>
        <v>35.204000000000001</v>
      </c>
      <c r="AE453" s="3">
        <f t="shared" si="44"/>
        <v>534.74875999999995</v>
      </c>
      <c r="AF453" s="3">
        <v>12.01</v>
      </c>
      <c r="AG453" s="2" cm="1">
        <f t="array" ref="AG453">SUM($F$2:$F$9*($C$2:$C$9=$Q$5))</f>
        <v>8.7029999999999994</v>
      </c>
      <c r="AH453" s="3">
        <f t="shared" si="45"/>
        <v>104.52302999999999</v>
      </c>
      <c r="AI453" s="3">
        <v>17.3</v>
      </c>
      <c r="AJ453" s="2" cm="1">
        <f t="array" ref="AJ453">SUM($F$2:$F$9*($C$2:$C$9=$Q$6))</f>
        <v>0</v>
      </c>
      <c r="AK453" s="3">
        <f t="shared" si="46"/>
        <v>0</v>
      </c>
      <c r="AL453" s="3">
        <v>11.64</v>
      </c>
      <c r="AM453" s="2" cm="1">
        <f t="array" ref="AM453">SUM($F$2:$F$9*($C$2:$C$9=$Q$8))</f>
        <v>0</v>
      </c>
      <c r="AN453" s="3">
        <f t="shared" si="47"/>
        <v>0</v>
      </c>
      <c r="AO453" s="3">
        <f>SUM(J2:J9)</f>
        <v>800</v>
      </c>
      <c r="AP4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1855.2936999999999</v>
      </c>
      <c r="AQ453" s="3">
        <f t="array" aca="1" ref="AQ453" ca="1">OFFSET(Table7[[#This Row],[Investment Increase]],0,-1)-SUM($J$2:$J$9*($E$2:$E$9=$Q$31))</f>
        <v>55.293699999999944</v>
      </c>
    </row>
    <row r="454" spans="22:43" x14ac:dyDescent="0.45">
      <c r="V454" s="9">
        <v>44090</v>
      </c>
      <c r="W454" s="3">
        <v>139.47999999999999</v>
      </c>
      <c r="X454" s="2" cm="1">
        <f t="array" ref="X454">SUM($F$2:$F$9*($C$2:$C$9=$Q$2))</f>
        <v>3.0209999999999999</v>
      </c>
      <c r="Y454" s="3">
        <f t="shared" si="42"/>
        <v>421.36907999999994</v>
      </c>
      <c r="Z454" s="3">
        <v>141.35</v>
      </c>
      <c r="AA454" s="2" cm="1">
        <f t="array" ref="AA454">SUM($F$2:$F$9*($C$2:$C$9=$Q$3))</f>
        <v>0</v>
      </c>
      <c r="AB454" s="3">
        <f t="shared" si="43"/>
        <v>0</v>
      </c>
      <c r="AC454" s="3">
        <v>15.4</v>
      </c>
      <c r="AD454" s="2" cm="1">
        <f t="array" ref="AD454">SUM($F$2:$F$9*($C$2:$C$9=$Q$4))</f>
        <v>35.204000000000001</v>
      </c>
      <c r="AE454" s="3">
        <f t="shared" si="44"/>
        <v>542.14160000000004</v>
      </c>
      <c r="AF454" s="3">
        <v>12.12</v>
      </c>
      <c r="AG454" s="2" cm="1">
        <f t="array" ref="AG454">SUM($F$2:$F$9*($C$2:$C$9=$Q$5))</f>
        <v>8.7029999999999994</v>
      </c>
      <c r="AH454" s="3">
        <f t="shared" si="45"/>
        <v>105.48035999999999</v>
      </c>
      <c r="AI454" s="3">
        <v>17.440000000000001</v>
      </c>
      <c r="AJ454" s="2" cm="1">
        <f t="array" ref="AJ454">SUM($F$2:$F$9*($C$2:$C$9=$Q$6))</f>
        <v>0</v>
      </c>
      <c r="AK454" s="3">
        <f t="shared" si="46"/>
        <v>0</v>
      </c>
      <c r="AL454" s="3">
        <v>11.66</v>
      </c>
      <c r="AM454" s="2" cm="1">
        <f t="array" ref="AM454">SUM($F$2:$F$9*($C$2:$C$9=$Q$8))</f>
        <v>0</v>
      </c>
      <c r="AN454" s="3">
        <f t="shared" si="47"/>
        <v>0</v>
      </c>
      <c r="AO454" s="3">
        <f>SUM(J2:J9)</f>
        <v>800</v>
      </c>
      <c r="AP4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1868.9910399999999</v>
      </c>
      <c r="AQ454" s="3" cm="1">
        <f t="array" aca="1" ref="AQ454" ca="1">OFFSET(Table7[[#This Row],[Investment Increase]],0,-1)-SUM($J$2:$J$9*($E$2:$E$9=$Q$31))</f>
        <v>68.991039999999884</v>
      </c>
    </row>
    <row r="455" spans="22:43" x14ac:dyDescent="0.45">
      <c r="V455" s="9">
        <v>44089</v>
      </c>
      <c r="W455" s="3">
        <v>141.25</v>
      </c>
      <c r="X455" s="2" cm="1">
        <f t="array" ref="X455">SUM($F$2:$F$9*($C$2:$C$9=$Q$2))</f>
        <v>3.0209999999999999</v>
      </c>
      <c r="Y455" s="3">
        <f t="shared" si="42"/>
        <v>426.71625</v>
      </c>
      <c r="Z455" s="3">
        <v>143.22999999999999</v>
      </c>
      <c r="AA455" s="2" cm="1">
        <f t="array" ref="AA455">SUM($F$2:$F$9*($C$2:$C$9=$Q$3))</f>
        <v>0</v>
      </c>
      <c r="AB455" s="3">
        <f t="shared" si="43"/>
        <v>0</v>
      </c>
      <c r="AC455" s="3">
        <v>15.61</v>
      </c>
      <c r="AD455" s="2" cm="1">
        <f t="array" ref="AD455">SUM($F$2:$F$9*($C$2:$C$9=$Q$4))</f>
        <v>35.204000000000001</v>
      </c>
      <c r="AE455" s="3">
        <f t="shared" si="44"/>
        <v>549.53444000000002</v>
      </c>
      <c r="AF455" s="3">
        <v>12.18</v>
      </c>
      <c r="AG455" s="2" cm="1">
        <f t="array" ref="AG455">SUM($F$2:$F$9*($C$2:$C$9=$Q$5))</f>
        <v>8.7029999999999994</v>
      </c>
      <c r="AH455" s="3">
        <f t="shared" si="45"/>
        <v>106.00254</v>
      </c>
      <c r="AI455" s="3">
        <v>17.510000000000002</v>
      </c>
      <c r="AJ455" s="2" cm="1">
        <f t="array" ref="AJ455">SUM($F$2:$F$9*($C$2:$C$9=$Q$6))</f>
        <v>0</v>
      </c>
      <c r="AK455" s="3">
        <f t="shared" si="46"/>
        <v>0</v>
      </c>
      <c r="AL455" s="3">
        <v>11.54</v>
      </c>
      <c r="AM455" s="2" cm="1">
        <f t="array" ref="AM455">SUM($F$2:$F$9*($C$2:$C$9=$Q$8))</f>
        <v>0</v>
      </c>
      <c r="AN455" s="3">
        <f t="shared" si="47"/>
        <v>0</v>
      </c>
      <c r="AO455" s="3">
        <f>SUM(J2:J9)</f>
        <v>800</v>
      </c>
      <c r="AP4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1882.25323</v>
      </c>
      <c r="AQ455" s="3" cm="1">
        <f t="array" aca="1" ref="AQ455" ca="1">OFFSET(Table7[[#This Row],[Investment Increase]],0,-1)-SUM($J$2:$J$9*($E$2:$E$9=$Q$31))</f>
        <v>82.25323000000003</v>
      </c>
    </row>
    <row r="456" spans="22:43" x14ac:dyDescent="0.45">
      <c r="V456" s="9">
        <v>44088</v>
      </c>
      <c r="W456" s="3">
        <v>139.56</v>
      </c>
      <c r="X456" s="2" cm="1">
        <f t="array" ref="X456">SUM($F$2:$F$9*($C$2:$C$9=$Q$2))</f>
        <v>3.0209999999999999</v>
      </c>
      <c r="Y456" s="3">
        <f t="shared" si="42"/>
        <v>421.61075999999997</v>
      </c>
      <c r="Z456" s="3">
        <v>141.63</v>
      </c>
      <c r="AA456" s="2" cm="1">
        <f t="array" ref="AA456">SUM($F$2:$F$9*($C$2:$C$9=$Q$3))</f>
        <v>0</v>
      </c>
      <c r="AB456" s="3">
        <f t="shared" si="43"/>
        <v>0</v>
      </c>
      <c r="AC456" s="3">
        <v>15.41</v>
      </c>
      <c r="AD456" s="2" cm="1">
        <f t="array" ref="AD456">SUM($F$2:$F$9*($C$2:$C$9=$Q$4))</f>
        <v>35.204000000000001</v>
      </c>
      <c r="AE456" s="3">
        <f t="shared" si="44"/>
        <v>542.49364000000003</v>
      </c>
      <c r="AF456" s="3">
        <v>12.1</v>
      </c>
      <c r="AG456" s="2" cm="1">
        <f t="array" ref="AG456">SUM($F$2:$F$9*($C$2:$C$9=$Q$5))</f>
        <v>8.7029999999999994</v>
      </c>
      <c r="AH456" s="3">
        <f t="shared" si="45"/>
        <v>105.30629999999999</v>
      </c>
      <c r="AI456" s="3">
        <v>17.440000000000001</v>
      </c>
      <c r="AJ456" s="2" cm="1">
        <f t="array" ref="AJ456">SUM($F$2:$F$9*($C$2:$C$9=$Q$6))</f>
        <v>0</v>
      </c>
      <c r="AK456" s="3">
        <f t="shared" si="46"/>
        <v>0</v>
      </c>
      <c r="AL456" s="3">
        <v>11.49</v>
      </c>
      <c r="AM456" s="2" cm="1">
        <f t="array" ref="AM456">SUM($F$2:$F$9*($C$2:$C$9=$Q$8))</f>
        <v>0</v>
      </c>
      <c r="AN456" s="3">
        <f t="shared" si="47"/>
        <v>0</v>
      </c>
      <c r="AO456" s="3">
        <f>SUM(J2:J9)</f>
        <v>800</v>
      </c>
      <c r="AP4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1869.4106999999999</v>
      </c>
      <c r="AQ456" s="3" cm="1">
        <f t="array" aca="1" ref="AQ456" ca="1">OFFSET(Table7[[#This Row],[Investment Increase]],0,-1)-SUM($J$2:$J$9*($E$2:$E$9=$Q$31))</f>
        <v>69.410699999999906</v>
      </c>
    </row>
    <row r="457" spans="22:43" x14ac:dyDescent="0.45">
      <c r="V457" s="9">
        <v>44085</v>
      </c>
      <c r="W457" s="3">
        <v>136.97999999999999</v>
      </c>
      <c r="X457" s="2" cm="1">
        <f t="array" ref="X457">SUM($F$2:$F$9*($C$2:$C$9=$Q$2))</f>
        <v>3.0209999999999999</v>
      </c>
      <c r="Y457" s="3">
        <f t="shared" si="42"/>
        <v>413.81657999999993</v>
      </c>
      <c r="Z457" s="3">
        <v>138.71</v>
      </c>
      <c r="AA457" s="2" cm="1">
        <f t="array" ref="AA457">SUM($F$2:$F$9*($C$2:$C$9=$Q$3))</f>
        <v>0</v>
      </c>
      <c r="AB457" s="3">
        <f t="shared" si="43"/>
        <v>0</v>
      </c>
      <c r="AC457" s="3">
        <v>15.15</v>
      </c>
      <c r="AD457" s="2" cm="1">
        <f t="array" ref="AD457">SUM($F$2:$F$9*($C$2:$C$9=$Q$4))</f>
        <v>35.204000000000001</v>
      </c>
      <c r="AE457" s="3">
        <f t="shared" si="44"/>
        <v>533.34059999999999</v>
      </c>
      <c r="AF457" s="3">
        <v>11.93</v>
      </c>
      <c r="AG457" s="2" cm="1">
        <f t="array" ref="AG457">SUM($F$2:$F$9*($C$2:$C$9=$Q$5))</f>
        <v>8.7029999999999994</v>
      </c>
      <c r="AH457" s="3">
        <f t="shared" si="45"/>
        <v>103.82678999999999</v>
      </c>
      <c r="AI457" s="3">
        <v>17.22</v>
      </c>
      <c r="AJ457" s="2" cm="1">
        <f t="array" ref="AJ457">SUM($F$2:$F$9*($C$2:$C$9=$Q$6))</f>
        <v>0</v>
      </c>
      <c r="AK457" s="3">
        <f t="shared" si="46"/>
        <v>0</v>
      </c>
      <c r="AL457" s="3">
        <v>11.39</v>
      </c>
      <c r="AM457" s="2" cm="1">
        <f t="array" ref="AM457">SUM($F$2:$F$9*($C$2:$C$9=$Q$8))</f>
        <v>0</v>
      </c>
      <c r="AN457" s="3">
        <f t="shared" si="47"/>
        <v>0</v>
      </c>
      <c r="AO457" s="3">
        <f>SUM(J2:J9)</f>
        <v>800</v>
      </c>
      <c r="AP4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1850.98397</v>
      </c>
      <c r="AQ457" s="3" cm="1">
        <f t="array" aca="1" ref="AQ457" ca="1">OFFSET(Table7[[#This Row],[Investment Increase]],0,-1)-SUM($J$2:$J$9*($E$2:$E$9=$Q$31))</f>
        <v>50.983969999999999</v>
      </c>
    </row>
    <row r="458" spans="22:43" x14ac:dyDescent="0.45">
      <c r="V458" s="9">
        <v>44084</v>
      </c>
      <c r="W458" s="3">
        <v>137.82</v>
      </c>
      <c r="X458" s="2" cm="1">
        <f t="array" ref="X458">SUM($F$2:$F$5*($C$2:$C$5=$Q$2))</f>
        <v>3.0209999999999999</v>
      </c>
      <c r="Y458" s="3">
        <f t="shared" si="42"/>
        <v>416.35421999999994</v>
      </c>
      <c r="Z458" s="3">
        <v>145.41</v>
      </c>
      <c r="AA458" s="2" cm="1">
        <f t="array" ref="AA458">SUM($F$2:$F$5*($C$2:$C$5=$Q$3))</f>
        <v>0</v>
      </c>
      <c r="AB458" s="3">
        <f t="shared" si="43"/>
        <v>0</v>
      </c>
      <c r="AC458" s="3">
        <v>16.22</v>
      </c>
      <c r="AD458" s="2" cm="1">
        <f t="array" ref="AD458">SUM($F$2:$F$5*($C$2:$C$5=$Q$4))</f>
        <v>32.872999999999998</v>
      </c>
      <c r="AE458" s="3">
        <f t="shared" si="44"/>
        <v>533.20005999999989</v>
      </c>
      <c r="AF458" s="3">
        <v>11.93</v>
      </c>
      <c r="AG458" s="2" cm="1">
        <f t="array" ref="AG458">SUM($F$2:$F$9*($C$2:$C$9=$Q$5))</f>
        <v>8.7029999999999994</v>
      </c>
      <c r="AH458" s="3">
        <f t="shared" si="45"/>
        <v>103.82678999999999</v>
      </c>
      <c r="AI458" s="3">
        <v>17.22</v>
      </c>
      <c r="AJ458" s="2" cm="1">
        <f t="array" ref="AJ458">SUM($F$2:$F$5*($C$2:$C$5=$Q$6))</f>
        <v>0</v>
      </c>
      <c r="AK458" s="3">
        <f t="shared" si="46"/>
        <v>0</v>
      </c>
      <c r="AL458" s="3">
        <v>11.25</v>
      </c>
      <c r="AM458" s="2" cm="1">
        <f t="array" ref="AM458">SUM($F$2:$F$5*($C$2:$C$5=$Q$8))</f>
        <v>0</v>
      </c>
      <c r="AN458" s="3">
        <f t="shared" si="47"/>
        <v>0</v>
      </c>
      <c r="AO458" s="3">
        <f>SUM(J2:J9)</f>
        <v>800</v>
      </c>
      <c r="AP4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1853.3810699999999</v>
      </c>
      <c r="AQ458" s="3" cm="1">
        <f t="array" aca="1" ref="AQ458" ca="1">OFFSET(Table7[[#This Row],[Investment Increase]],0,-1)-SUM($J$2:$J$5*($E$2:$E$5=$Q$31))</f>
        <v>53.381069999999909</v>
      </c>
    </row>
    <row r="459" spans="22:43" x14ac:dyDescent="0.45">
      <c r="V459" s="9">
        <v>44083</v>
      </c>
      <c r="W459" s="3">
        <v>140.62</v>
      </c>
      <c r="X459" s="2" cm="1">
        <f t="array" ref="X459">SUM($F$2:$F$5*($C$2:$C$5=$Q$2))</f>
        <v>3.0209999999999999</v>
      </c>
      <c r="Y459" s="3">
        <f t="shared" si="42"/>
        <v>424.81301999999999</v>
      </c>
      <c r="Z459" s="3">
        <v>147.69999999999999</v>
      </c>
      <c r="AA459" s="2" cm="1">
        <f t="array" ref="AA459">SUM($F$2:$F$5*($C$2:$C$5=$Q$3))</f>
        <v>0</v>
      </c>
      <c r="AB459" s="3">
        <f t="shared" si="43"/>
        <v>0</v>
      </c>
      <c r="AC459" s="3">
        <v>16.510000000000002</v>
      </c>
      <c r="AD459" s="2" cm="1">
        <f t="array" ref="AD459">SUM($F$2:$F$5*($C$2:$C$5=$Q$4))</f>
        <v>32.872999999999998</v>
      </c>
      <c r="AE459" s="3">
        <f t="shared" si="44"/>
        <v>542.73323000000005</v>
      </c>
      <c r="AF459" s="3">
        <v>12.14</v>
      </c>
      <c r="AG459" s="2" cm="1">
        <f t="array" ref="AG459">SUM($F$2:$F$5*($C$2:$C$5=$Q$5))</f>
        <v>8.7029999999999994</v>
      </c>
      <c r="AH459" s="3">
        <f t="shared" si="45"/>
        <v>105.65442</v>
      </c>
      <c r="AI459" s="3">
        <v>17.54</v>
      </c>
      <c r="AJ459" s="2" cm="1">
        <f t="array" ref="AJ459">SUM($F$2:$F$5*($C$2:$C$5=$Q$6))</f>
        <v>0</v>
      </c>
      <c r="AK459" s="3">
        <f t="shared" si="46"/>
        <v>0</v>
      </c>
      <c r="AL459" s="3">
        <v>11.42</v>
      </c>
      <c r="AM459" s="2" cm="1">
        <f t="array" ref="AM459">SUM($F$2:$F$5*($C$2:$C$5=$Q$8))</f>
        <v>0</v>
      </c>
      <c r="AN459" s="3">
        <f t="shared" si="47"/>
        <v>0</v>
      </c>
      <c r="AO459" s="3">
        <f>SUM(J2:J5)</f>
        <v>800</v>
      </c>
      <c r="AP4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1873.2006700000002</v>
      </c>
      <c r="AQ459" s="3" cm="1">
        <f t="array" aca="1" ref="AQ459" ca="1">OFFSET(Table7[[#This Row],[Investment Increase]],0,-1)-SUM($J$2:$J$5*($E$2:$E$5=$Q$31))</f>
        <v>73.200670000000173</v>
      </c>
    </row>
    <row r="460" spans="22:43" x14ac:dyDescent="0.45">
      <c r="V460" s="9">
        <v>44082</v>
      </c>
      <c r="W460" s="3">
        <v>136.91</v>
      </c>
      <c r="X460" s="2" cm="1">
        <f t="array" ref="X460">SUM($F$2:$F$5*($C$2:$C$5=$Q$2))</f>
        <v>3.0209999999999999</v>
      </c>
      <c r="Y460" s="3">
        <f t="shared" si="42"/>
        <v>413.60510999999997</v>
      </c>
      <c r="Z460" s="3">
        <v>143.61000000000001</v>
      </c>
      <c r="AA460" s="2" cm="1">
        <f t="array" ref="AA460">SUM($F$2:$F$5*($C$2:$C$5=$Q$3))</f>
        <v>0</v>
      </c>
      <c r="AB460" s="3">
        <f t="shared" si="43"/>
        <v>0</v>
      </c>
      <c r="AC460" s="3">
        <v>16.05</v>
      </c>
      <c r="AD460" s="2" cm="1">
        <f t="array" ref="AD460">SUM($F$2:$F$5*($C$2:$C$5=$Q$4))</f>
        <v>32.872999999999998</v>
      </c>
      <c r="AE460" s="3">
        <f t="shared" si="44"/>
        <v>527.61164999999994</v>
      </c>
      <c r="AF460" s="3">
        <v>11.89</v>
      </c>
      <c r="AG460" s="2" cm="1">
        <f t="array" ref="AG460">SUM($F$2:$F$5*($C$2:$C$5=$Q$5))</f>
        <v>8.7029999999999994</v>
      </c>
      <c r="AH460" s="3">
        <f t="shared" si="45"/>
        <v>103.47866999999999</v>
      </c>
      <c r="AI460" s="3">
        <v>17.18</v>
      </c>
      <c r="AJ460" s="2" cm="1">
        <f t="array" ref="AJ460">SUM($F$2:$F$5*($C$2:$C$5=$Q$6))</f>
        <v>0</v>
      </c>
      <c r="AK460" s="3">
        <f t="shared" si="46"/>
        <v>0</v>
      </c>
      <c r="AL460" s="3">
        <v>11.21</v>
      </c>
      <c r="AM460" s="2" cm="1">
        <f t="array" ref="AM460">SUM($F$2:$F$5*($C$2:$C$5=$Q$8))</f>
        <v>0</v>
      </c>
      <c r="AN460" s="3">
        <f t="shared" si="47"/>
        <v>0</v>
      </c>
      <c r="AO460" s="3">
        <f>SUM(J2:J5)</f>
        <v>800</v>
      </c>
      <c r="AP4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1844.69543</v>
      </c>
      <c r="AQ460" s="3" cm="1">
        <f t="array" aca="1" ref="AQ460" ca="1">OFFSET(Table7[[#This Row],[Investment Increase]],0,-1)-SUM($J$2:$J$5*($E$2:$E$5=$Q$31))</f>
        <v>44.695429999999988</v>
      </c>
    </row>
    <row r="461" spans="22:43" x14ac:dyDescent="0.45">
      <c r="V461" s="9">
        <v>44078</v>
      </c>
      <c r="W461" s="3">
        <v>142.79</v>
      </c>
      <c r="X461" s="2" cm="1">
        <f t="array" ref="X461">SUM($F$2:$F$5*($C$2:$C$5=$Q$2))</f>
        <v>3.0209999999999999</v>
      </c>
      <c r="Y461" s="3">
        <f t="shared" si="42"/>
        <v>431.36858999999998</v>
      </c>
      <c r="Z461" s="3">
        <v>149.01</v>
      </c>
      <c r="AA461" s="2" cm="1">
        <f t="array" ref="AA461">SUM($F$2:$F$5*($C$2:$C$5=$Q$3))</f>
        <v>0</v>
      </c>
      <c r="AB461" s="3">
        <f t="shared" si="43"/>
        <v>0</v>
      </c>
      <c r="AC461" s="3">
        <v>16.75</v>
      </c>
      <c r="AD461" s="2" cm="1">
        <f t="array" ref="AD461">SUM($F$2:$F$5*($C$2:$C$5=$Q$4))</f>
        <v>32.872999999999998</v>
      </c>
      <c r="AE461" s="3">
        <f t="shared" si="44"/>
        <v>550.62275</v>
      </c>
      <c r="AF461" s="3">
        <v>12.25</v>
      </c>
      <c r="AG461" s="2" cm="1">
        <f t="array" ref="AG461">SUM($F$2:$F$5*($C$2:$C$5=$Q$5))</f>
        <v>8.7029999999999994</v>
      </c>
      <c r="AH461" s="3">
        <f t="shared" si="45"/>
        <v>106.61174999999999</v>
      </c>
      <c r="AI461" s="3">
        <v>17.690000000000001</v>
      </c>
      <c r="AJ461" s="2" cm="1">
        <f t="array" ref="AJ461">SUM($F$2:$F$5*($C$2:$C$5=$Q$6))</f>
        <v>0</v>
      </c>
      <c r="AK461" s="3">
        <f t="shared" si="46"/>
        <v>0</v>
      </c>
      <c r="AL461" s="3">
        <v>11.44</v>
      </c>
      <c r="AM461" s="2" cm="1">
        <f t="array" ref="AM461">SUM($F$2:$F$5*($C$2:$C$5=$Q$8))</f>
        <v>0</v>
      </c>
      <c r="AN461" s="3">
        <f t="shared" si="47"/>
        <v>0</v>
      </c>
      <c r="AO461" s="3">
        <f>SUM(J2:J5)</f>
        <v>800</v>
      </c>
      <c r="AP4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1888.6030900000001</v>
      </c>
      <c r="AQ461" s="3" cm="1">
        <f t="array" aca="1" ref="AQ461" ca="1">OFFSET(Table7[[#This Row],[Investment Increase]],0,-1)-SUM($J$2:$J$5*($E$2:$E$5=$Q$31))</f>
        <v>88.603090000000066</v>
      </c>
    </row>
    <row r="462" spans="22:43" x14ac:dyDescent="0.45">
      <c r="V462" s="9">
        <v>44077</v>
      </c>
      <c r="W462" s="3">
        <v>144.63</v>
      </c>
      <c r="X462" s="2" cm="1">
        <f t="array" ref="X462">SUM($F$2:$F$5*($C$2:$C$5=$Q$2))</f>
        <v>3.0209999999999999</v>
      </c>
      <c r="Y462" s="3">
        <f t="shared" si="42"/>
        <v>436.92722999999995</v>
      </c>
      <c r="Z462" s="3">
        <v>151.47</v>
      </c>
      <c r="AA462" s="2" cm="1">
        <f t="array" ref="AA462">SUM($F$2:$F$5*($C$2:$C$5=$Q$3))</f>
        <v>0</v>
      </c>
      <c r="AB462" s="3">
        <f t="shared" si="43"/>
        <v>0</v>
      </c>
      <c r="AC462" s="3">
        <v>16.989999999999998</v>
      </c>
      <c r="AD462" s="2" cm="1">
        <f t="array" ref="AD462">SUM($F$2:$F$5*($C$2:$C$5=$Q$4))</f>
        <v>32.872999999999998</v>
      </c>
      <c r="AE462" s="3">
        <f t="shared" si="44"/>
        <v>558.51226999999994</v>
      </c>
      <c r="AF462" s="3">
        <v>12.36</v>
      </c>
      <c r="AG462" s="2" cm="1">
        <f t="array" ref="AG462">SUM($F$2:$F$5*($C$2:$C$5=$Q$5))</f>
        <v>8.7029999999999994</v>
      </c>
      <c r="AH462" s="3">
        <f t="shared" si="45"/>
        <v>107.56907999999999</v>
      </c>
      <c r="AI462" s="3">
        <v>17.850000000000001</v>
      </c>
      <c r="AJ462" s="2" cm="1">
        <f t="array" ref="AJ462">SUM($F$2:$F$5*($C$2:$C$5=$Q$6))</f>
        <v>0</v>
      </c>
      <c r="AK462" s="3">
        <f t="shared" si="46"/>
        <v>0</v>
      </c>
      <c r="AL462" s="3">
        <v>11.37</v>
      </c>
      <c r="AM462" s="2" cm="1">
        <f t="array" ref="AM462">SUM($F$2:$F$5*($C$2:$C$5=$Q$8))</f>
        <v>0</v>
      </c>
      <c r="AN462" s="3">
        <f t="shared" si="47"/>
        <v>0</v>
      </c>
      <c r="AO462" s="3">
        <f>SUM(J2:J5)</f>
        <v>800</v>
      </c>
      <c r="AP4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1903.0085799999999</v>
      </c>
      <c r="AQ462" s="3" cm="1">
        <f t="array" aca="1" ref="AQ462" ca="1">OFFSET(Table7[[#This Row],[Investment Increase]],0,-1)-SUM($J$2:$J$5*($E$2:$E$5=$Q$31))</f>
        <v>103.00857999999994</v>
      </c>
    </row>
    <row r="463" spans="22:43" x14ac:dyDescent="0.45">
      <c r="V463" s="9">
        <v>44076</v>
      </c>
      <c r="W463" s="3">
        <v>152.16999999999999</v>
      </c>
      <c r="X463" s="2" cm="1">
        <f t="array" ref="X463">SUM($F$2:$F$5*($C$2:$C$5=$Q$2))</f>
        <v>3.0209999999999999</v>
      </c>
      <c r="Y463" s="3">
        <f t="shared" si="42"/>
        <v>459.70556999999997</v>
      </c>
      <c r="Z463" s="3">
        <v>159.84</v>
      </c>
      <c r="AA463" s="2" cm="1">
        <f t="array" ref="AA463">SUM($F$2:$F$5*($C$2:$C$5=$Q$3))</f>
        <v>0</v>
      </c>
      <c r="AB463" s="3">
        <f t="shared" si="43"/>
        <v>0</v>
      </c>
      <c r="AC463" s="3">
        <v>17.86</v>
      </c>
      <c r="AD463" s="2" cm="1">
        <f t="array" ref="AD463">SUM($F$2:$F$5*($C$2:$C$5=$Q$4))</f>
        <v>32.872999999999998</v>
      </c>
      <c r="AE463" s="3">
        <f t="shared" si="44"/>
        <v>587.11177999999995</v>
      </c>
      <c r="AF463" s="3">
        <v>12.82</v>
      </c>
      <c r="AG463" s="2" cm="1">
        <f t="array" ref="AG463">SUM($F$2:$F$5*($C$2:$C$5=$Q$5))</f>
        <v>8.7029999999999994</v>
      </c>
      <c r="AH463" s="3">
        <f t="shared" si="45"/>
        <v>111.57245999999999</v>
      </c>
      <c r="AI463" s="3">
        <v>18.510000000000002</v>
      </c>
      <c r="AJ463" s="2" cm="1">
        <f t="array" ref="AJ463">SUM($F$2:$F$5*($C$2:$C$5=$Q$6))</f>
        <v>0</v>
      </c>
      <c r="AK463" s="3">
        <f t="shared" si="46"/>
        <v>0</v>
      </c>
      <c r="AL463" s="3">
        <v>11.58</v>
      </c>
      <c r="AM463" s="2" cm="1">
        <f t="array" ref="AM463">SUM($F$2:$F$5*($C$2:$C$5=$Q$8))</f>
        <v>0</v>
      </c>
      <c r="AN463" s="3">
        <f t="shared" si="47"/>
        <v>0</v>
      </c>
      <c r="AO463" s="3">
        <f>SUM(J2:J5)</f>
        <v>800</v>
      </c>
      <c r="AP4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1958.3898099999999</v>
      </c>
      <c r="AQ463" s="3" cm="1">
        <f t="array" aca="1" ref="AQ463" ca="1">OFFSET(Table7[[#This Row],[Investment Increase]],0,-1)-SUM($J$2:$J$5*($E$2:$E$5=$Q$31))</f>
        <v>158.3898099999999</v>
      </c>
    </row>
    <row r="464" spans="22:43" x14ac:dyDescent="0.45">
      <c r="V464" s="9">
        <v>44075</v>
      </c>
      <c r="W464" s="3">
        <v>150.69</v>
      </c>
      <c r="X464" s="2" cm="1">
        <f t="array" ref="X464">SUM($F$2:$F$5*($C$2:$C$5=$Q$2))</f>
        <v>3.0209999999999999</v>
      </c>
      <c r="Y464" s="3">
        <f t="shared" si="42"/>
        <v>455.23448999999999</v>
      </c>
      <c r="Z464" s="3">
        <v>158.87</v>
      </c>
      <c r="AA464" s="2" cm="1">
        <f t="array" ref="AA464">SUM($F$2:$F$5*($C$2:$C$5=$Q$3))</f>
        <v>0</v>
      </c>
      <c r="AB464" s="3">
        <f t="shared" si="43"/>
        <v>0</v>
      </c>
      <c r="AC464" s="3">
        <v>17.670000000000002</v>
      </c>
      <c r="AD464" s="2" cm="1">
        <f t="array" ref="AD464">SUM($F$2:$F$5*($C$2:$C$5=$Q$4))</f>
        <v>32.872999999999998</v>
      </c>
      <c r="AE464" s="3">
        <f t="shared" si="44"/>
        <v>580.86590999999999</v>
      </c>
      <c r="AF464" s="3">
        <v>12.64</v>
      </c>
      <c r="AG464" s="2" cm="1">
        <f t="array" ref="AG464">SUM($F$2:$F$5*($C$2:$C$5=$Q$5))</f>
        <v>8.7029999999999994</v>
      </c>
      <c r="AH464" s="3">
        <f t="shared" si="45"/>
        <v>110.00592</v>
      </c>
      <c r="AI464" s="3">
        <v>18.27</v>
      </c>
      <c r="AJ464" s="2" cm="1">
        <f t="array" ref="AJ464">SUM($F$2:$F$5*($C$2:$C$5=$Q$6))</f>
        <v>0</v>
      </c>
      <c r="AK464" s="3">
        <f t="shared" si="46"/>
        <v>0</v>
      </c>
      <c r="AL464" s="3">
        <v>11.53</v>
      </c>
      <c r="AM464" s="2" cm="1">
        <f t="array" ref="AM464">SUM($F$2:$F$5*($C$2:$C$5=$Q$8))</f>
        <v>0</v>
      </c>
      <c r="AN464" s="3">
        <f t="shared" si="47"/>
        <v>0</v>
      </c>
      <c r="AO464" s="3">
        <f>SUM(J2:J5)</f>
        <v>800</v>
      </c>
      <c r="AP4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1946.1063200000001</v>
      </c>
      <c r="AQ464" s="3" cm="1">
        <f t="array" aca="1" ref="AQ464" ca="1">OFFSET(Table7[[#This Row],[Investment Increase]],0,-1)-SUM($J$2:$J$5*($E$2:$E$5=$Q$31))</f>
        <v>146.1063200000001</v>
      </c>
    </row>
    <row r="465" spans="22:43" x14ac:dyDescent="0.45">
      <c r="V465" s="9">
        <v>44074</v>
      </c>
      <c r="W465" s="3">
        <v>148.62</v>
      </c>
      <c r="X465" s="2" cm="1">
        <f t="array" ref="X465">SUM($F$2:$F$5*($C$2:$C$5=$Q$2))</f>
        <v>3.0209999999999999</v>
      </c>
      <c r="Y465" s="3">
        <f t="shared" si="42"/>
        <v>448.98102</v>
      </c>
      <c r="Z465" s="3">
        <v>156.13999999999999</v>
      </c>
      <c r="AA465" s="2" cm="1">
        <f t="array" ref="AA465">SUM($F$2:$F$5*($C$2:$C$5=$Q$3))</f>
        <v>0</v>
      </c>
      <c r="AB465" s="3">
        <f t="shared" si="43"/>
        <v>0</v>
      </c>
      <c r="AC465" s="3">
        <v>17.43</v>
      </c>
      <c r="AD465" s="2" cm="1">
        <f t="array" ref="AD465">SUM($F$2:$F$5*($C$2:$C$5=$Q$4))</f>
        <v>32.872999999999998</v>
      </c>
      <c r="AE465" s="3">
        <f t="shared" si="44"/>
        <v>572.97638999999992</v>
      </c>
      <c r="AF465" s="3">
        <v>12.55</v>
      </c>
      <c r="AG465" s="2" cm="1">
        <f t="array" ref="AG465">SUM($F$2:$F$5*($C$2:$C$5=$Q$5))</f>
        <v>8.7029999999999994</v>
      </c>
      <c r="AH465" s="3">
        <f t="shared" si="45"/>
        <v>109.22265</v>
      </c>
      <c r="AI465" s="3">
        <v>18.12</v>
      </c>
      <c r="AJ465" s="2" cm="1">
        <f t="array" ref="AJ465">SUM($F$2:$F$5*($C$2:$C$5=$Q$6))</f>
        <v>0</v>
      </c>
      <c r="AK465" s="3">
        <f t="shared" si="46"/>
        <v>0</v>
      </c>
      <c r="AL465" s="3">
        <v>11.43</v>
      </c>
      <c r="AM465" s="2" cm="1">
        <f t="array" ref="AM465">SUM($F$2:$F$5*($C$2:$C$5=$Q$8))</f>
        <v>0</v>
      </c>
      <c r="AN465" s="3">
        <f t="shared" si="47"/>
        <v>0</v>
      </c>
      <c r="AO465" s="3">
        <f>SUM(J2:J5)</f>
        <v>800</v>
      </c>
      <c r="AP4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1931.1800599999999</v>
      </c>
      <c r="AQ465" s="3" cm="1">
        <f t="array" aca="1" ref="AQ465" ca="1">OFFSET(Table7[[#This Row],[Investment Increase]],0,-1)-SUM($J$2:$J$5*($E$2:$E$5=$Q$31))</f>
        <v>131.18005999999991</v>
      </c>
    </row>
    <row r="466" spans="22:43" x14ac:dyDescent="0.45">
      <c r="V466" s="9">
        <v>44071</v>
      </c>
      <c r="W466" s="3">
        <v>147.6</v>
      </c>
      <c r="X466" s="2" cm="1">
        <f t="array" ref="X466">SUM($F$2:$F$5*($C$2:$C$5=$Q$2))</f>
        <v>3.0209999999999999</v>
      </c>
      <c r="Y466" s="3">
        <f t="shared" si="42"/>
        <v>445.89959999999996</v>
      </c>
      <c r="Z466" s="3">
        <v>154.97</v>
      </c>
      <c r="AA466" s="2" cm="1">
        <f t="array" ref="AA466">SUM($F$2:$F$5*($C$2:$C$5=$Q$3))</f>
        <v>0</v>
      </c>
      <c r="AB466" s="3">
        <f t="shared" si="43"/>
        <v>0</v>
      </c>
      <c r="AC466" s="3">
        <v>17.350000000000001</v>
      </c>
      <c r="AD466" s="2" cm="1">
        <f t="array" ref="AD466">SUM($F$2:$F$5*($C$2:$C$5=$Q$4))</f>
        <v>32.872999999999998</v>
      </c>
      <c r="AE466" s="3">
        <f t="shared" si="44"/>
        <v>570.34654999999998</v>
      </c>
      <c r="AF466" s="3">
        <v>12.55</v>
      </c>
      <c r="AG466" s="2" cm="1">
        <f t="array" ref="AG466">SUM($F$2:$F$5*($C$2:$C$5=$Q$5))</f>
        <v>8.7029999999999994</v>
      </c>
      <c r="AH466" s="3">
        <f t="shared" si="45"/>
        <v>109.22265</v>
      </c>
      <c r="AI466" s="3">
        <v>18.16</v>
      </c>
      <c r="AJ466" s="2" cm="1">
        <f t="array" ref="AJ466">SUM($F$2:$F$5*($C$2:$C$5=$Q$6))</f>
        <v>0</v>
      </c>
      <c r="AK466" s="3">
        <f t="shared" si="46"/>
        <v>0</v>
      </c>
      <c r="AL466" s="3">
        <v>11.52</v>
      </c>
      <c r="AM466" s="2" cm="1">
        <f t="array" ref="AM466">SUM($F$2:$F$5*($C$2:$C$5=$Q$8))</f>
        <v>0</v>
      </c>
      <c r="AN466" s="3">
        <f t="shared" si="47"/>
        <v>0</v>
      </c>
      <c r="AO466" s="3">
        <f>SUM(J2:J5)</f>
        <v>800</v>
      </c>
      <c r="AP4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1925.4687999999999</v>
      </c>
      <c r="AQ466" s="3" cm="1">
        <f t="array" aca="1" ref="AQ466" ca="1">OFFSET(Table7[[#This Row],[Investment Increase]],0,-1)-SUM($J$2:$J$5*($E$2:$E$5=$Q$31))</f>
        <v>125.46879999999987</v>
      </c>
    </row>
    <row r="467" spans="22:43" x14ac:dyDescent="0.45">
      <c r="V467" s="9">
        <v>44070</v>
      </c>
      <c r="W467" s="3">
        <v>146.71</v>
      </c>
      <c r="X467" s="2" cm="1">
        <f t="array" ref="X467">SUM($F$2:$F$5*($C$2:$C$5=$Q$2))</f>
        <v>3.0209999999999999</v>
      </c>
      <c r="Y467" s="3">
        <f t="shared" si="42"/>
        <v>443.21091000000001</v>
      </c>
      <c r="Z467" s="3">
        <v>153.77000000000001</v>
      </c>
      <c r="AA467" s="2" cm="1">
        <f t="array" ref="AA467">SUM($F$2:$F$5*($C$2:$C$5=$Q$3))</f>
        <v>0</v>
      </c>
      <c r="AB467" s="3">
        <f t="shared" si="43"/>
        <v>0</v>
      </c>
      <c r="AC467" s="3">
        <v>17.23</v>
      </c>
      <c r="AD467" s="2" cm="1">
        <f t="array" ref="AD467">SUM($F$2:$F$5*($C$2:$C$5=$Q$4))</f>
        <v>32.872999999999998</v>
      </c>
      <c r="AE467" s="3">
        <f t="shared" si="44"/>
        <v>566.40179000000001</v>
      </c>
      <c r="AF467" s="3">
        <v>12.47</v>
      </c>
      <c r="AG467" s="2" cm="1">
        <f t="array" ref="AG467">SUM($F$2:$F$5*($C$2:$C$5=$Q$5))</f>
        <v>8.7029999999999994</v>
      </c>
      <c r="AH467" s="3">
        <f t="shared" si="45"/>
        <v>108.52641</v>
      </c>
      <c r="AI467" s="3">
        <v>18.04</v>
      </c>
      <c r="AJ467" s="2" cm="1">
        <f t="array" ref="AJ467">SUM($F$2:$F$5*($C$2:$C$5=$Q$6))</f>
        <v>0</v>
      </c>
      <c r="AK467" s="3">
        <f t="shared" si="46"/>
        <v>0</v>
      </c>
      <c r="AL467" s="3">
        <v>11.37</v>
      </c>
      <c r="AM467" s="2" cm="1">
        <f t="array" ref="AM467">SUM($F$2:$F$5*($C$2:$C$5=$Q$8))</f>
        <v>0</v>
      </c>
      <c r="AN467" s="3">
        <f t="shared" si="47"/>
        <v>0</v>
      </c>
      <c r="AO467" s="3">
        <f>SUM(J2:J5)</f>
        <v>800</v>
      </c>
      <c r="AP4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1918.1391100000001</v>
      </c>
      <c r="AQ467" s="3" cm="1">
        <f t="array" aca="1" ref="AQ467" ca="1">OFFSET(Table7[[#This Row],[Investment Increase]],0,-1)-SUM($J$2:$J$5*($E$2:$E$5=$Q$31))</f>
        <v>118.13911000000007</v>
      </c>
    </row>
    <row r="468" spans="22:43" x14ac:dyDescent="0.45">
      <c r="V468" s="9">
        <v>44069</v>
      </c>
      <c r="W468" s="3">
        <v>147.21</v>
      </c>
      <c r="X468" s="2" cm="1">
        <f t="array" ref="X468">SUM($F$2:$F$5*($C$2:$C$5=$Q$2))</f>
        <v>3.0209999999999999</v>
      </c>
      <c r="Y468" s="3">
        <f t="shared" si="42"/>
        <v>444.72140999999999</v>
      </c>
      <c r="Z468" s="3">
        <v>154.58000000000001</v>
      </c>
      <c r="AA468" s="2" cm="1">
        <f t="array" ref="AA468">SUM($F$2:$F$5*($C$2:$C$5=$Q$3))</f>
        <v>0</v>
      </c>
      <c r="AB468" s="3">
        <f t="shared" si="43"/>
        <v>0</v>
      </c>
      <c r="AC468" s="3">
        <v>17.29</v>
      </c>
      <c r="AD468" s="2" cm="1">
        <f t="array" ref="AD468">SUM($F$2:$F$5*($C$2:$C$5=$Q$4))</f>
        <v>32.872999999999998</v>
      </c>
      <c r="AE468" s="3">
        <f t="shared" si="44"/>
        <v>568.37416999999994</v>
      </c>
      <c r="AF468" s="3">
        <v>12.44</v>
      </c>
      <c r="AG468" s="2" cm="1">
        <f t="array" ref="AG468">SUM($F$2:$F$5*($C$2:$C$5=$Q$5))</f>
        <v>8.7029999999999994</v>
      </c>
      <c r="AH468" s="3">
        <f t="shared" si="45"/>
        <v>108.26531999999999</v>
      </c>
      <c r="AI468" s="3">
        <v>18</v>
      </c>
      <c r="AJ468" s="2" cm="1">
        <f t="array" ref="AJ468">SUM($F$2:$F$5*($C$2:$C$5=$Q$6))</f>
        <v>0</v>
      </c>
      <c r="AK468" s="3">
        <f t="shared" si="46"/>
        <v>0</v>
      </c>
      <c r="AL468" s="3">
        <v>11.42</v>
      </c>
      <c r="AM468" s="2" cm="1">
        <f t="array" ref="AM468">SUM($F$2:$F$5*($C$2:$C$5=$Q$8))</f>
        <v>0</v>
      </c>
      <c r="AN468" s="3">
        <f t="shared" si="47"/>
        <v>0</v>
      </c>
      <c r="AO468" s="3">
        <f>SUM(J2:J5)</f>
        <v>800</v>
      </c>
      <c r="AP4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1921.3608999999999</v>
      </c>
      <c r="AQ468" s="3" cm="1">
        <f t="array" aca="1" ref="AQ468" ca="1">OFFSET(Table7[[#This Row],[Investment Increase]],0,-1)-SUM($J$2:$J$5*($E$2:$E$5=$Q$31))</f>
        <v>121.3608999999999</v>
      </c>
    </row>
    <row r="469" spans="22:43" x14ac:dyDescent="0.45">
      <c r="V469" s="9">
        <v>44068</v>
      </c>
      <c r="W469" s="3">
        <v>144.69999999999999</v>
      </c>
      <c r="X469" s="2" cm="1">
        <f t="array" ref="X469">SUM($F$2:$F$5*($C$2:$C$5=$Q$2))</f>
        <v>3.0209999999999999</v>
      </c>
      <c r="Y469" s="3">
        <f t="shared" si="42"/>
        <v>437.13869999999997</v>
      </c>
      <c r="Z469" s="3">
        <v>150.5</v>
      </c>
      <c r="AA469" s="2" cm="1">
        <f t="array" ref="AA469">SUM($F$2:$F$5*($C$2:$C$5=$Q$3))</f>
        <v>0</v>
      </c>
      <c r="AB469" s="3">
        <f t="shared" si="43"/>
        <v>0</v>
      </c>
      <c r="AC469" s="3">
        <v>16.93</v>
      </c>
      <c r="AD469" s="2" cm="1">
        <f t="array" ref="AD469">SUM($F$2:$F$5*($C$2:$C$5=$Q$4))</f>
        <v>32.872999999999998</v>
      </c>
      <c r="AE469" s="3">
        <f t="shared" si="44"/>
        <v>556.5398899999999</v>
      </c>
      <c r="AF469" s="3">
        <v>12.3</v>
      </c>
      <c r="AG469" s="2" cm="1">
        <f t="array" ref="AG469">SUM($F$2:$F$5*($C$2:$C$5=$Q$5))</f>
        <v>8.7029999999999994</v>
      </c>
      <c r="AH469" s="3">
        <f t="shared" si="45"/>
        <v>107.04689999999999</v>
      </c>
      <c r="AI469" s="3">
        <v>17.8</v>
      </c>
      <c r="AJ469" s="2" cm="1">
        <f t="array" ref="AJ469">SUM($F$2:$F$5*($C$2:$C$5=$Q$6))</f>
        <v>0</v>
      </c>
      <c r="AK469" s="3">
        <f t="shared" si="46"/>
        <v>0</v>
      </c>
      <c r="AL469" s="3">
        <v>11.37</v>
      </c>
      <c r="AM469" s="2" cm="1">
        <f t="array" ref="AM469">SUM($F$2:$F$5*($C$2:$C$5=$Q$8))</f>
        <v>0</v>
      </c>
      <c r="AN469" s="3">
        <f t="shared" si="47"/>
        <v>0</v>
      </c>
      <c r="AO469" s="3">
        <f>SUM(J2:J5)</f>
        <v>800</v>
      </c>
      <c r="AP4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1900.7254899999998</v>
      </c>
      <c r="AQ469" s="3" cm="1">
        <f t="array" aca="1" ref="AQ469" ca="1">OFFSET(Table7[[#This Row],[Investment Increase]],0,-1)-SUM($J$2:$J$5*($E$2:$E$5=$Q$31))</f>
        <v>100.72548999999981</v>
      </c>
    </row>
    <row r="470" spans="22:43" x14ac:dyDescent="0.45">
      <c r="V470" s="9">
        <v>44067</v>
      </c>
      <c r="W470" s="3">
        <v>143.61000000000001</v>
      </c>
      <c r="X470" s="2" cm="1">
        <f t="array" ref="X470">SUM($F$2:$F$5*($C$2:$C$5=$Q$2))</f>
        <v>3.0209999999999999</v>
      </c>
      <c r="Y470" s="3">
        <f t="shared" si="42"/>
        <v>433.84581000000003</v>
      </c>
      <c r="Z470" s="3">
        <v>149.1</v>
      </c>
      <c r="AA470" s="2" cm="1">
        <f t="array" ref="AA470">SUM($F$2:$F$5*($C$2:$C$5=$Q$3))</f>
        <v>0</v>
      </c>
      <c r="AB470" s="3">
        <f t="shared" si="43"/>
        <v>0</v>
      </c>
      <c r="AC470" s="3">
        <v>16.77</v>
      </c>
      <c r="AD470" s="2" cm="1">
        <f t="array" ref="AD470">SUM($F$2:$F$5*($C$2:$C$5=$Q$4))</f>
        <v>32.872999999999998</v>
      </c>
      <c r="AE470" s="3">
        <f t="shared" si="44"/>
        <v>551.2802099999999</v>
      </c>
      <c r="AF470" s="3">
        <v>12.26</v>
      </c>
      <c r="AG470" s="2" cm="1">
        <f t="array" ref="AG470">SUM($F$2:$F$5*($C$2:$C$5=$Q$5))</f>
        <v>8.7029999999999994</v>
      </c>
      <c r="AH470" s="3">
        <f t="shared" si="45"/>
        <v>106.69877999999999</v>
      </c>
      <c r="AI470" s="3">
        <v>17.739999999999998</v>
      </c>
      <c r="AJ470" s="2" cm="1">
        <f t="array" ref="AJ470">SUM($F$2:$F$5*($C$2:$C$5=$Q$6))</f>
        <v>0</v>
      </c>
      <c r="AK470" s="3">
        <f t="shared" si="46"/>
        <v>0</v>
      </c>
      <c r="AL470" s="3">
        <v>11.45</v>
      </c>
      <c r="AM470" s="2" cm="1">
        <f t="array" ref="AM470">SUM($F$2:$F$5*($C$2:$C$5=$Q$8))</f>
        <v>0</v>
      </c>
      <c r="AN470" s="3">
        <f t="shared" si="47"/>
        <v>0</v>
      </c>
      <c r="AO470" s="3">
        <f>SUM(J2:J5)</f>
        <v>800</v>
      </c>
      <c r="AP4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1891.8247999999999</v>
      </c>
      <c r="AQ470" s="3" cm="1">
        <f t="array" aca="1" ref="AQ470" ca="1">OFFSET(Table7[[#This Row],[Investment Increase]],0,-1)-SUM($J$2:$J$5*($E$2:$E$5=$Q$31))</f>
        <v>91.824799999999868</v>
      </c>
    </row>
    <row r="471" spans="22:43" x14ac:dyDescent="0.45">
      <c r="V471" s="9">
        <v>44064</v>
      </c>
      <c r="W471" s="3">
        <v>142.75</v>
      </c>
      <c r="X471" s="2" cm="1">
        <f t="array" ref="X471">SUM($F$2:$F$5*($C$2:$C$5=$Q$2))</f>
        <v>3.0209999999999999</v>
      </c>
      <c r="Y471" s="3">
        <f t="shared" si="42"/>
        <v>431.24775</v>
      </c>
      <c r="Z471" s="3">
        <v>148.27000000000001</v>
      </c>
      <c r="AA471" s="2" cm="1">
        <f t="array" ref="AA471">SUM($F$2:$F$5*($C$2:$C$5=$Q$3))</f>
        <v>0</v>
      </c>
      <c r="AB471" s="3">
        <f t="shared" si="43"/>
        <v>0</v>
      </c>
      <c r="AC471" s="3">
        <v>16.62</v>
      </c>
      <c r="AD471" s="2" cm="1">
        <f t="array" ref="AD471">SUM($F$2:$F$5*($C$2:$C$5=$Q$4))</f>
        <v>32.872999999999998</v>
      </c>
      <c r="AE471" s="3">
        <f t="shared" si="44"/>
        <v>546.34925999999996</v>
      </c>
      <c r="AF471" s="3">
        <v>12.14</v>
      </c>
      <c r="AG471" s="2" cm="1">
        <f t="array" ref="AG471">SUM($F$2:$F$5*($C$2:$C$5=$Q$5))</f>
        <v>8.7029999999999994</v>
      </c>
      <c r="AH471" s="3">
        <f t="shared" si="45"/>
        <v>105.65442</v>
      </c>
      <c r="AI471" s="3">
        <v>17.57</v>
      </c>
      <c r="AJ471" s="2" cm="1">
        <f t="array" ref="AJ471">SUM($F$2:$F$5*($C$2:$C$5=$Q$6))</f>
        <v>0</v>
      </c>
      <c r="AK471" s="3">
        <f t="shared" si="46"/>
        <v>0</v>
      </c>
      <c r="AL471" s="3">
        <v>11.29</v>
      </c>
      <c r="AM471" s="2" cm="1">
        <f t="array" ref="AM471">SUM($F$2:$F$5*($C$2:$C$5=$Q$8))</f>
        <v>0</v>
      </c>
      <c r="AN471" s="3">
        <f t="shared" si="47"/>
        <v>0</v>
      </c>
      <c r="AO471" s="3">
        <f>SUM(J2:J5)</f>
        <v>800</v>
      </c>
      <c r="AP4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1883.25143</v>
      </c>
      <c r="AQ471" s="3" cm="1">
        <f t="array" aca="1" ref="AQ471" ca="1">OFFSET(Table7[[#This Row],[Investment Increase]],0,-1)-SUM($J$2:$J$5*($E$2:$E$5=$Q$31))</f>
        <v>83.251430000000028</v>
      </c>
    </row>
    <row r="472" spans="22:43" x14ac:dyDescent="0.45">
      <c r="V472" s="9">
        <v>44063</v>
      </c>
      <c r="W472" s="3">
        <v>142.15</v>
      </c>
      <c r="X472" s="2" cm="1">
        <f t="array" ref="X472">SUM($F$2:$F$5*($C$2:$C$5=$Q$2))</f>
        <v>3.0209999999999999</v>
      </c>
      <c r="Y472" s="3">
        <f t="shared" si="42"/>
        <v>429.43515000000002</v>
      </c>
      <c r="Z472" s="3">
        <v>147.6</v>
      </c>
      <c r="AA472" s="2" cm="1">
        <f t="array" ref="AA472">SUM($F$2:$F$5*($C$2:$C$5=$Q$3))</f>
        <v>0</v>
      </c>
      <c r="AB472" s="3">
        <f t="shared" si="43"/>
        <v>0</v>
      </c>
      <c r="AC472" s="3">
        <v>16.510000000000002</v>
      </c>
      <c r="AD472" s="2" cm="1">
        <f t="array" ref="AD472">SUM($F$2:$F$5*($C$2:$C$5=$Q$4))</f>
        <v>32.872999999999998</v>
      </c>
      <c r="AE472" s="3">
        <f t="shared" si="44"/>
        <v>542.73323000000005</v>
      </c>
      <c r="AF472" s="3">
        <v>12.1</v>
      </c>
      <c r="AG472" s="2" cm="1">
        <f t="array" ref="AG472">SUM($F$2:$F$5*($C$2:$C$5=$Q$5))</f>
        <v>8.7029999999999994</v>
      </c>
      <c r="AH472" s="3">
        <f t="shared" si="45"/>
        <v>105.30629999999999</v>
      </c>
      <c r="AI472" s="3">
        <v>17.510000000000002</v>
      </c>
      <c r="AJ472" s="2" cm="1">
        <f t="array" ref="AJ472">SUM($F$2:$F$5*($C$2:$C$5=$Q$6))</f>
        <v>0</v>
      </c>
      <c r="AK472" s="3">
        <f t="shared" si="46"/>
        <v>0</v>
      </c>
      <c r="AL472" s="3">
        <v>11.41</v>
      </c>
      <c r="AM472" s="2" cm="1">
        <f t="array" ref="AM472">SUM($F$2:$F$5*($C$2:$C$5=$Q$8))</f>
        <v>0</v>
      </c>
      <c r="AN472" s="3">
        <f t="shared" si="47"/>
        <v>0</v>
      </c>
      <c r="AO472" s="3">
        <f>SUM(J2:J5)</f>
        <v>800</v>
      </c>
      <c r="AP4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1877.47468</v>
      </c>
      <c r="AQ472" s="3" cm="1">
        <f t="array" aca="1" ref="AQ472" ca="1">OFFSET(Table7[[#This Row],[Investment Increase]],0,-1)-SUM($J$2:$J$5*($E$2:$E$5=$Q$31))</f>
        <v>77.474680000000035</v>
      </c>
    </row>
    <row r="473" spans="22:43" x14ac:dyDescent="0.45">
      <c r="V473" s="9">
        <v>44062</v>
      </c>
      <c r="W473" s="3">
        <v>140.65</v>
      </c>
      <c r="X473" s="2" cm="1">
        <f t="array" ref="X473">SUM($F$2:$F$5*($C$2:$C$5=$Q$2))</f>
        <v>3.0209999999999999</v>
      </c>
      <c r="Y473" s="3">
        <f t="shared" si="42"/>
        <v>424.90365000000003</v>
      </c>
      <c r="Z473" s="3">
        <v>145.55000000000001</v>
      </c>
      <c r="AA473" s="2" cm="1">
        <f t="array" ref="AA473">SUM($F$2:$F$5*($C$2:$C$5=$Q$3))</f>
        <v>0</v>
      </c>
      <c r="AB473" s="3">
        <f t="shared" si="43"/>
        <v>0</v>
      </c>
      <c r="AC473" s="3">
        <v>16.309999999999999</v>
      </c>
      <c r="AD473" s="2" cm="1">
        <f t="array" ref="AD473">SUM($F$2:$F$5*($C$2:$C$5=$Q$4))</f>
        <v>32.872999999999998</v>
      </c>
      <c r="AE473" s="3">
        <f t="shared" si="44"/>
        <v>536.1586299999999</v>
      </c>
      <c r="AF473" s="3">
        <v>12.05</v>
      </c>
      <c r="AG473" s="2" cm="1">
        <f t="array" ref="AG473">SUM($F$2:$F$5*($C$2:$C$5=$Q$5))</f>
        <v>8.7029999999999994</v>
      </c>
      <c r="AH473" s="3">
        <f t="shared" si="45"/>
        <v>104.87115</v>
      </c>
      <c r="AI473" s="3">
        <v>17.43</v>
      </c>
      <c r="AJ473" s="2" cm="1">
        <f t="array" ref="AJ473">SUM($F$2:$F$5*($C$2:$C$5=$Q$6))</f>
        <v>0</v>
      </c>
      <c r="AK473" s="3">
        <f t="shared" si="46"/>
        <v>0</v>
      </c>
      <c r="AL473" s="3">
        <v>11.52</v>
      </c>
      <c r="AM473" s="2" cm="1">
        <f t="array" ref="AM473">SUM($F$2:$F$5*($C$2:$C$5=$Q$8))</f>
        <v>0</v>
      </c>
      <c r="AN473" s="3">
        <f t="shared" si="47"/>
        <v>0</v>
      </c>
      <c r="AO473" s="3">
        <f>SUM(J2:J5)</f>
        <v>800</v>
      </c>
      <c r="AP4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1865.9334299999998</v>
      </c>
      <c r="AQ473" s="3" cm="1">
        <f t="array" aca="1" ref="AQ473" ca="1">OFFSET(Table7[[#This Row],[Investment Increase]],0,-1)-SUM($J$2:$J$5*($E$2:$E$5=$Q$31))</f>
        <v>65.933429999999817</v>
      </c>
    </row>
    <row r="474" spans="22:43" x14ac:dyDescent="0.45">
      <c r="V474" s="9">
        <v>44061</v>
      </c>
      <c r="W474" s="3">
        <v>141.43</v>
      </c>
      <c r="X474" s="2" cm="1">
        <f t="array" ref="X474">SUM($F$2:$F$5*($C$2:$C$5=$Q$2))</f>
        <v>3.0209999999999999</v>
      </c>
      <c r="Y474" s="3">
        <f t="shared" si="42"/>
        <v>427.26003000000003</v>
      </c>
      <c r="Z474" s="3">
        <v>146.02000000000001</v>
      </c>
      <c r="AA474" s="2" cm="1">
        <f t="array" ref="AA474">SUM($F$2:$F$5*($C$2:$C$5=$Q$3))</f>
        <v>0</v>
      </c>
      <c r="AB474" s="3">
        <f t="shared" si="43"/>
        <v>0</v>
      </c>
      <c r="AC474" s="3">
        <v>16.38</v>
      </c>
      <c r="AD474" s="2" cm="1">
        <f t="array" ref="AD474">SUM($F$2:$F$5*($C$2:$C$5=$Q$4))</f>
        <v>32.872999999999998</v>
      </c>
      <c r="AE474" s="3">
        <f t="shared" si="44"/>
        <v>538.4597399999999</v>
      </c>
      <c r="AF474" s="3">
        <v>12.11</v>
      </c>
      <c r="AG474" s="2" cm="1">
        <f t="array" ref="AG474">SUM($F$2:$F$5*($C$2:$C$5=$Q$5))</f>
        <v>8.7029999999999994</v>
      </c>
      <c r="AH474" s="3">
        <f t="shared" si="45"/>
        <v>105.39332999999999</v>
      </c>
      <c r="AI474" s="3">
        <v>17.510000000000002</v>
      </c>
      <c r="AJ474" s="2" cm="1">
        <f t="array" ref="AJ474">SUM($F$2:$F$5*($C$2:$C$5=$Q$6))</f>
        <v>0</v>
      </c>
      <c r="AK474" s="3">
        <f t="shared" si="46"/>
        <v>0</v>
      </c>
      <c r="AL474" s="3">
        <v>11.64</v>
      </c>
      <c r="AM474" s="2" cm="1">
        <f t="array" ref="AM474">SUM($F$2:$F$5*($C$2:$C$5=$Q$8))</f>
        <v>0</v>
      </c>
      <c r="AN474" s="3">
        <f t="shared" si="47"/>
        <v>0</v>
      </c>
      <c r="AO474" s="3">
        <f>SUM(J2:J5)</f>
        <v>800</v>
      </c>
      <c r="AP4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1871.1131</v>
      </c>
      <c r="AQ474" s="3" cm="1">
        <f t="array" aca="1" ref="AQ474" ca="1">OFFSET(Table7[[#This Row],[Investment Increase]],0,-1)-SUM($J$2:$J$5*($E$2:$E$5=$Q$31))</f>
        <v>71.113100000000031</v>
      </c>
    </row>
    <row r="475" spans="22:43" x14ac:dyDescent="0.45">
      <c r="V475" s="9">
        <v>44060</v>
      </c>
      <c r="W475" s="3">
        <v>140.4</v>
      </c>
      <c r="X475" s="2" cm="1">
        <f t="array" ref="X475">SUM($F$2:$F$5*($C$2:$C$5=$Q$2))</f>
        <v>3.0209999999999999</v>
      </c>
      <c r="Y475" s="3">
        <f t="shared" si="42"/>
        <v>424.14839999999998</v>
      </c>
      <c r="Z475" s="3">
        <v>144.43</v>
      </c>
      <c r="AA475" s="2" cm="1">
        <f t="array" ref="AA475">SUM($F$2:$F$5*($C$2:$C$5=$Q$3))</f>
        <v>0</v>
      </c>
      <c r="AB475" s="3">
        <f t="shared" si="43"/>
        <v>0</v>
      </c>
      <c r="AC475" s="3">
        <v>16.23</v>
      </c>
      <c r="AD475" s="2" cm="1">
        <f t="array" ref="AD475">SUM($F$2:$F$5*($C$2:$C$5=$Q$4))</f>
        <v>32.872999999999998</v>
      </c>
      <c r="AE475" s="3">
        <f t="shared" si="44"/>
        <v>533.52878999999996</v>
      </c>
      <c r="AF475" s="3">
        <v>12.07</v>
      </c>
      <c r="AG475" s="2" cm="1">
        <f t="array" ref="AG475">SUM($F$2:$F$5*($C$2:$C$5=$Q$5))</f>
        <v>8.7029999999999994</v>
      </c>
      <c r="AH475" s="3">
        <f t="shared" si="45"/>
        <v>105.04521</v>
      </c>
      <c r="AI475" s="3">
        <v>17.46</v>
      </c>
      <c r="AJ475" s="2" cm="1">
        <f t="array" ref="AJ475">SUM($F$2:$F$5*($C$2:$C$5=$Q$6))</f>
        <v>0</v>
      </c>
      <c r="AK475" s="3">
        <f t="shared" si="46"/>
        <v>0</v>
      </c>
      <c r="AL475" s="3">
        <v>11.63</v>
      </c>
      <c r="AM475" s="2" cm="1">
        <f t="array" ref="AM475">SUM($F$2:$F$5*($C$2:$C$5=$Q$8))</f>
        <v>0</v>
      </c>
      <c r="AN475" s="3">
        <f t="shared" si="47"/>
        <v>0</v>
      </c>
      <c r="AO475" s="3">
        <f>SUM(J2:J5)</f>
        <v>800</v>
      </c>
      <c r="AP4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1862.7223999999999</v>
      </c>
      <c r="AQ475" s="3" cm="1">
        <f t="array" aca="1" ref="AQ475" ca="1">OFFSET(Table7[[#This Row],[Investment Increase]],0,-1)-SUM($J$2:$J$5*($E$2:$E$5=$Q$31))</f>
        <v>62.72239999999988</v>
      </c>
    </row>
    <row r="476" spans="22:43" x14ac:dyDescent="0.45">
      <c r="V476" s="9">
        <v>44057</v>
      </c>
      <c r="W476" s="3">
        <v>139</v>
      </c>
      <c r="X476" s="2" cm="1">
        <f t="array" ref="X476">SUM($F$2:$F$5*($C$2:$C$5=$Q$2))</f>
        <v>3.0209999999999999</v>
      </c>
      <c r="Y476" s="3">
        <f t="shared" si="42"/>
        <v>419.91899999999998</v>
      </c>
      <c r="Z476" s="3">
        <v>142.35</v>
      </c>
      <c r="AA476" s="2" cm="1">
        <f t="array" ref="AA476">SUM($F$2:$F$5*($C$2:$C$5=$Q$3))</f>
        <v>0</v>
      </c>
      <c r="AB476" s="3">
        <f t="shared" si="43"/>
        <v>0</v>
      </c>
      <c r="AC476" s="3">
        <v>16.059999999999999</v>
      </c>
      <c r="AD476" s="2" cm="1">
        <f t="array" ref="AD476">SUM($F$2:$F$5*($C$2:$C$5=$Q$4))</f>
        <v>32.872999999999998</v>
      </c>
      <c r="AE476" s="3">
        <f t="shared" si="44"/>
        <v>527.94037999999989</v>
      </c>
      <c r="AF476" s="3">
        <v>12.02</v>
      </c>
      <c r="AG476" s="2" cm="1">
        <f t="array" ref="AG476">SUM($F$2:$F$5*($C$2:$C$5=$Q$5))</f>
        <v>8.7029999999999994</v>
      </c>
      <c r="AH476" s="3">
        <f t="shared" si="45"/>
        <v>104.61005999999999</v>
      </c>
      <c r="AI476" s="3">
        <v>17.41</v>
      </c>
      <c r="AJ476" s="2" cm="1">
        <f t="array" ref="AJ476">SUM($F$2:$F$5*($C$2:$C$5=$Q$6))</f>
        <v>0</v>
      </c>
      <c r="AK476" s="3">
        <f t="shared" si="46"/>
        <v>0</v>
      </c>
      <c r="AL476" s="3">
        <v>11.5</v>
      </c>
      <c r="AM476" s="2" cm="1">
        <f t="array" ref="AM476">SUM($F$2:$F$5*($C$2:$C$5=$Q$8))</f>
        <v>0</v>
      </c>
      <c r="AN476" s="3">
        <f t="shared" si="47"/>
        <v>0</v>
      </c>
      <c r="AO476" s="3">
        <f>SUM(J2:J5)</f>
        <v>800</v>
      </c>
      <c r="AP4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1852.4694399999998</v>
      </c>
      <c r="AQ476" s="3" cm="1">
        <f t="array" aca="1" ref="AQ476" ca="1">OFFSET(Table7[[#This Row],[Investment Increase]],0,-1)-SUM($J$2:$J$5*($E$2:$E$5=$Q$31))</f>
        <v>52.46943999999985</v>
      </c>
    </row>
    <row r="477" spans="22:43" x14ac:dyDescent="0.45">
      <c r="V477" s="9">
        <v>44056</v>
      </c>
      <c r="W477" s="3">
        <v>139.28</v>
      </c>
      <c r="X477" s="2" cm="1">
        <f t="array" ref="X477">SUM($F$2:$F$5*($C$2:$C$5=$Q$2))</f>
        <v>3.0209999999999999</v>
      </c>
      <c r="Y477" s="3">
        <f t="shared" si="42"/>
        <v>420.76488000000001</v>
      </c>
      <c r="Z477" s="3">
        <v>142.86000000000001</v>
      </c>
      <c r="AA477" s="2" cm="1">
        <f t="array" ref="AA477">SUM($F$2:$F$5*($C$2:$C$5=$Q$3))</f>
        <v>0</v>
      </c>
      <c r="AB477" s="3">
        <f t="shared" si="43"/>
        <v>0</v>
      </c>
      <c r="AC477" s="3">
        <v>16.100000000000001</v>
      </c>
      <c r="AD477" s="2" cm="1">
        <f t="array" ref="AD477">SUM($F$2:$F$5*($C$2:$C$5=$Q$4))</f>
        <v>32.872999999999998</v>
      </c>
      <c r="AE477" s="3">
        <f t="shared" si="44"/>
        <v>529.25530000000003</v>
      </c>
      <c r="AF477" s="3">
        <v>12.03</v>
      </c>
      <c r="AG477" s="2" cm="1">
        <f t="array" ref="AG477">SUM($F$2:$F$5*($C$2:$C$5=$Q$5))</f>
        <v>8.7029999999999994</v>
      </c>
      <c r="AH477" s="3">
        <f t="shared" si="45"/>
        <v>104.69708999999999</v>
      </c>
      <c r="AI477" s="3">
        <v>17.41</v>
      </c>
      <c r="AJ477" s="2" cm="1">
        <f t="array" ref="AJ477">SUM($F$2:$F$5*($C$2:$C$5=$Q$6))</f>
        <v>0</v>
      </c>
      <c r="AK477" s="3">
        <f t="shared" si="46"/>
        <v>0</v>
      </c>
      <c r="AL477" s="3">
        <v>11.49</v>
      </c>
      <c r="AM477" s="2" cm="1">
        <f t="array" ref="AM477">SUM($F$2:$F$5*($C$2:$C$5=$Q$8))</f>
        <v>0</v>
      </c>
      <c r="AN477" s="3">
        <f t="shared" si="47"/>
        <v>0</v>
      </c>
      <c r="AO477" s="3">
        <f>SUM(J2:J5)</f>
        <v>800</v>
      </c>
      <c r="AP4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1854.7172699999999</v>
      </c>
      <c r="AQ477" s="3" cm="1">
        <f t="array" aca="1" ref="AQ477" ca="1">OFFSET(Table7[[#This Row],[Investment Increase]],0,-1)-SUM($J$2:$J$5*($E$2:$E$5=$Q$31))</f>
        <v>54.717269999999871</v>
      </c>
    </row>
    <row r="478" spans="22:43" x14ac:dyDescent="0.45">
      <c r="V478" s="9">
        <v>44055</v>
      </c>
      <c r="W478" s="3">
        <v>138.9</v>
      </c>
      <c r="X478" s="2" cm="1">
        <f t="array" ref="X478">SUM($F$2:$F$5*($C$2:$C$5=$Q$2))</f>
        <v>3.0209999999999999</v>
      </c>
      <c r="Y478" s="3">
        <f t="shared" si="42"/>
        <v>419.61689999999999</v>
      </c>
      <c r="Z478" s="3">
        <v>142.08000000000001</v>
      </c>
      <c r="AA478" s="2" cm="1">
        <f t="array" ref="AA478">SUM($F$2:$F$5*($C$2:$C$5=$Q$3))</f>
        <v>0</v>
      </c>
      <c r="AB478" s="3">
        <f t="shared" si="43"/>
        <v>0</v>
      </c>
      <c r="AC478" s="3">
        <v>16.03</v>
      </c>
      <c r="AD478" s="2" cm="1">
        <f t="array" ref="AD478">SUM($F$2:$F$5*($C$2:$C$5=$Q$4))</f>
        <v>32.872999999999998</v>
      </c>
      <c r="AE478" s="3">
        <f t="shared" si="44"/>
        <v>526.95419000000004</v>
      </c>
      <c r="AF478" s="3">
        <v>12.04</v>
      </c>
      <c r="AG478" s="2" cm="1">
        <f t="array" ref="AG478">SUM($F$2:$F$5*($C$2:$C$5=$Q$5))</f>
        <v>8.7029999999999994</v>
      </c>
      <c r="AH478" s="3">
        <f t="shared" si="45"/>
        <v>104.78411999999999</v>
      </c>
      <c r="AI478" s="3">
        <v>17.440000000000001</v>
      </c>
      <c r="AJ478" s="2" cm="1">
        <f t="array" ref="AJ478">SUM($F$2:$F$5*($C$2:$C$5=$Q$6))</f>
        <v>0</v>
      </c>
      <c r="AK478" s="3">
        <f t="shared" si="46"/>
        <v>0</v>
      </c>
      <c r="AL478" s="3">
        <v>11.52</v>
      </c>
      <c r="AM478" s="2" cm="1">
        <f t="array" ref="AM478">SUM($F$2:$F$5*($C$2:$C$5=$Q$8))</f>
        <v>0</v>
      </c>
      <c r="AN478" s="3">
        <f t="shared" si="47"/>
        <v>0</v>
      </c>
      <c r="AO478" s="3">
        <f>SUM(J2:J5)</f>
        <v>800</v>
      </c>
      <c r="AP4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1851.3552099999999</v>
      </c>
      <c r="AQ478" s="3" cm="1">
        <f t="array" aca="1" ref="AQ478" ca="1">OFFSET(Table7[[#This Row],[Investment Increase]],0,-1)-SUM($J$2:$J$5*($E$2:$E$5=$Q$31))</f>
        <v>51.355209999999943</v>
      </c>
    </row>
    <row r="479" spans="22:43" x14ac:dyDescent="0.45">
      <c r="V479" s="9">
        <v>44054</v>
      </c>
      <c r="W479" s="3">
        <v>136</v>
      </c>
      <c r="X479" s="2" cm="1">
        <f t="array" ref="X479">SUM($F$2:$F$5*($C$2:$C$5=$Q$2))</f>
        <v>3.0209999999999999</v>
      </c>
      <c r="Y479" s="3">
        <f t="shared" si="42"/>
        <v>410.85599999999999</v>
      </c>
      <c r="Z479" s="3">
        <v>138.91999999999999</v>
      </c>
      <c r="AA479" s="2" cm="1">
        <f t="array" ref="AA479">SUM($F$2:$F$5*($C$2:$C$5=$Q$3))</f>
        <v>0</v>
      </c>
      <c r="AB479" s="3">
        <f t="shared" si="43"/>
        <v>0</v>
      </c>
      <c r="AC479" s="3">
        <v>15.67</v>
      </c>
      <c r="AD479" s="2" cm="1">
        <f t="array" ref="AD479">SUM($F$2:$F$5*($C$2:$C$5=$Q$4))</f>
        <v>32.872999999999998</v>
      </c>
      <c r="AE479" s="3">
        <f t="shared" si="44"/>
        <v>515.11991</v>
      </c>
      <c r="AF479" s="3">
        <v>11.86</v>
      </c>
      <c r="AG479" s="2" cm="1">
        <f t="array" ref="AG479">SUM($F$2:$F$5*($C$2:$C$5=$Q$5))</f>
        <v>8.7029999999999994</v>
      </c>
      <c r="AH479" s="3">
        <f t="shared" si="45"/>
        <v>103.21757999999998</v>
      </c>
      <c r="AI479" s="3">
        <v>17.2</v>
      </c>
      <c r="AJ479" s="2" cm="1">
        <f t="array" ref="AJ479">SUM($F$2:$F$5*($C$2:$C$5=$Q$6))</f>
        <v>0</v>
      </c>
      <c r="AK479" s="3">
        <f t="shared" si="46"/>
        <v>0</v>
      </c>
      <c r="AL479" s="3">
        <v>11.42</v>
      </c>
      <c r="AM479" s="2" cm="1">
        <f t="array" ref="AM479">SUM($F$2:$F$5*($C$2:$C$5=$Q$8))</f>
        <v>0</v>
      </c>
      <c r="AN479" s="3">
        <f t="shared" si="47"/>
        <v>0</v>
      </c>
      <c r="AO479" s="3">
        <f>SUM(J2:J5)</f>
        <v>800</v>
      </c>
      <c r="AP4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1829.1934899999999</v>
      </c>
      <c r="AQ479" s="3" cm="1">
        <f t="array" aca="1" ref="AQ479" ca="1">OFFSET(Table7[[#This Row],[Investment Increase]],0,-1)-SUM($J$2:$J$5*($E$2:$E$5=$Q$31))</f>
        <v>29.193489999999883</v>
      </c>
    </row>
    <row r="480" spans="22:43" x14ac:dyDescent="0.45">
      <c r="V480" s="9">
        <v>44053</v>
      </c>
      <c r="W480" s="3">
        <v>138.34</v>
      </c>
      <c r="X480" s="2" cm="1">
        <f t="array" ref="X480">SUM($F$2:$F$5*($C$2:$C$5=$Q$2))</f>
        <v>3.0209999999999999</v>
      </c>
      <c r="Y480" s="3">
        <f t="shared" si="42"/>
        <v>417.92514</v>
      </c>
      <c r="Z480" s="3">
        <v>141.19</v>
      </c>
      <c r="AA480" s="2" cm="1">
        <f t="array" ref="AA480">SUM($F$2:$F$5*($C$2:$C$5=$Q$3))</f>
        <v>0</v>
      </c>
      <c r="AB480" s="3">
        <f t="shared" si="43"/>
        <v>0</v>
      </c>
      <c r="AC480" s="3">
        <v>15.9</v>
      </c>
      <c r="AD480" s="2" cm="1">
        <f t="array" ref="AD480">SUM($F$2:$F$5*($C$2:$C$5=$Q$4))</f>
        <v>32.872999999999998</v>
      </c>
      <c r="AE480" s="3">
        <f t="shared" si="44"/>
        <v>522.6807</v>
      </c>
      <c r="AF480" s="3">
        <v>11.96</v>
      </c>
      <c r="AG480" s="2" cm="1">
        <f t="array" ref="AG480">SUM($F$2:$F$5*($C$2:$C$5=$Q$5))</f>
        <v>8.7029999999999994</v>
      </c>
      <c r="AH480" s="3">
        <f t="shared" si="45"/>
        <v>104.08788</v>
      </c>
      <c r="AI480" s="3">
        <v>17.36</v>
      </c>
      <c r="AJ480" s="2" cm="1">
        <f t="array" ref="AJ480">SUM($F$2:$F$5*($C$2:$C$5=$Q$6))</f>
        <v>0</v>
      </c>
      <c r="AK480" s="3">
        <f t="shared" si="46"/>
        <v>0</v>
      </c>
      <c r="AL480" s="3">
        <v>11.5</v>
      </c>
      <c r="AM480" s="2" cm="1">
        <f t="array" ref="AM480">SUM($F$2:$F$5*($C$2:$C$5=$Q$8))</f>
        <v>0</v>
      </c>
      <c r="AN480" s="3">
        <f t="shared" si="47"/>
        <v>0</v>
      </c>
      <c r="AO480" s="3">
        <f>SUM(J2:J5)</f>
        <v>800</v>
      </c>
      <c r="AP4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1844.69372</v>
      </c>
      <c r="AQ480" s="3" cm="1">
        <f t="array" aca="1" ref="AQ480" ca="1">OFFSET(Table7[[#This Row],[Investment Increase]],0,-1)-SUM($J$2:$J$5*($E$2:$E$5=$Q$31))</f>
        <v>44.693719999999985</v>
      </c>
    </row>
    <row r="481" spans="22:43" x14ac:dyDescent="0.45">
      <c r="V481" s="9">
        <v>44050</v>
      </c>
      <c r="W481" s="3">
        <v>138.87</v>
      </c>
      <c r="X481" s="2" cm="1">
        <f t="array" ref="X481">SUM($F$2:$F$5*($C$2:$C$5=$Q$2))</f>
        <v>3.0209999999999999</v>
      </c>
      <c r="Y481" s="3">
        <f t="shared" si="42"/>
        <v>419.52627000000001</v>
      </c>
      <c r="Z481" s="3">
        <v>142.29</v>
      </c>
      <c r="AA481" s="2" cm="1">
        <f t="array" ref="AA481">SUM($F$2:$F$5*($C$2:$C$5=$Q$3))</f>
        <v>0</v>
      </c>
      <c r="AB481" s="3">
        <f t="shared" si="43"/>
        <v>0</v>
      </c>
      <c r="AC481" s="3">
        <v>15.99</v>
      </c>
      <c r="AD481" s="2" cm="1">
        <f t="array" ref="AD481">SUM($F$2:$F$5*($C$2:$C$5=$Q$4))</f>
        <v>32.872999999999998</v>
      </c>
      <c r="AE481" s="3">
        <f t="shared" si="44"/>
        <v>525.63927000000001</v>
      </c>
      <c r="AF481" s="3">
        <v>11.94</v>
      </c>
      <c r="AG481" s="2" cm="1">
        <f t="array" ref="AG481">SUM($F$2:$F$5*($C$2:$C$5=$Q$5))</f>
        <v>8.7029999999999994</v>
      </c>
      <c r="AH481" s="3">
        <f t="shared" si="45"/>
        <v>103.91381999999999</v>
      </c>
      <c r="AI481" s="3">
        <v>17.329999999999998</v>
      </c>
      <c r="AJ481" s="2" cm="1">
        <f t="array" ref="AJ481">SUM($F$2:$F$5*($C$2:$C$5=$Q$6))</f>
        <v>0</v>
      </c>
      <c r="AK481" s="3">
        <f t="shared" si="46"/>
        <v>0</v>
      </c>
      <c r="AL481" s="3">
        <v>11.33</v>
      </c>
      <c r="AM481" s="2" cm="1">
        <f t="array" ref="AM481">SUM($F$2:$F$5*($C$2:$C$5=$Q$8))</f>
        <v>0</v>
      </c>
      <c r="AN481" s="3">
        <f t="shared" si="47"/>
        <v>0</v>
      </c>
      <c r="AO481" s="3">
        <f>SUM(J2:J5)</f>
        <v>800</v>
      </c>
      <c r="AP4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1849.07936</v>
      </c>
      <c r="AQ481" s="3" cm="1">
        <f t="array" aca="1" ref="AQ481" ca="1">OFFSET(Table7[[#This Row],[Investment Increase]],0,-1)-SUM($J$2:$J$5*($E$2:$E$5=$Q$31))</f>
        <v>49.079359999999951</v>
      </c>
    </row>
    <row r="482" spans="22:43" x14ac:dyDescent="0.45">
      <c r="V482" s="9">
        <v>44049</v>
      </c>
      <c r="W482" s="3">
        <v>140.07</v>
      </c>
      <c r="X482" s="2" cm="1">
        <f t="array" ref="X482">SUM($F$2:$F$5*($C$2:$C$5=$Q$2))</f>
        <v>3.0209999999999999</v>
      </c>
      <c r="Y482" s="3">
        <f t="shared" si="42"/>
        <v>423.15146999999996</v>
      </c>
      <c r="Z482" s="3">
        <v>144.38999999999999</v>
      </c>
      <c r="AA482" s="2" cm="1">
        <f t="array" ref="AA482">SUM($F$2:$F$5*($C$2:$C$5=$Q$3))</f>
        <v>0</v>
      </c>
      <c r="AB482" s="3">
        <f t="shared" si="43"/>
        <v>0</v>
      </c>
      <c r="AC482" s="3">
        <v>16.16</v>
      </c>
      <c r="AD482" s="2" cm="1">
        <f t="array" ref="AD482">SUM($F$2:$F$5*($C$2:$C$5=$Q$4))</f>
        <v>32.872999999999998</v>
      </c>
      <c r="AE482" s="3">
        <f t="shared" si="44"/>
        <v>531.22767999999996</v>
      </c>
      <c r="AF482" s="3">
        <v>11.94</v>
      </c>
      <c r="AG482" s="2" cm="1">
        <f t="array" ref="AG482">SUM($F$2:$F$5*($C$2:$C$5=$Q$5))</f>
        <v>8.7029999999999994</v>
      </c>
      <c r="AH482" s="3">
        <f t="shared" si="45"/>
        <v>103.91381999999999</v>
      </c>
      <c r="AI482" s="3">
        <v>17.329999999999998</v>
      </c>
      <c r="AJ482" s="2" cm="1">
        <f t="array" ref="AJ482">SUM($F$2:$F$5*($C$2:$C$5=$Q$6))</f>
        <v>0</v>
      </c>
      <c r="AK482" s="3">
        <f t="shared" si="46"/>
        <v>0</v>
      </c>
      <c r="AL482" s="3">
        <v>11.45</v>
      </c>
      <c r="AM482" s="2" cm="1">
        <f t="array" ref="AM482">SUM($F$2:$F$5*($C$2:$C$5=$Q$8))</f>
        <v>0</v>
      </c>
      <c r="AN482" s="3">
        <f t="shared" si="47"/>
        <v>0</v>
      </c>
      <c r="AO482" s="3">
        <f>SUM(J2:J5)</f>
        <v>800</v>
      </c>
      <c r="AP4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1858.29297</v>
      </c>
      <c r="AQ482" s="3" cm="1">
        <f t="array" aca="1" ref="AQ482" ca="1">OFFSET(Table7[[#This Row],[Investment Increase]],0,-1)-SUM($J$2:$J$5*($E$2:$E$5=$Q$31))</f>
        <v>58.292969999999968</v>
      </c>
    </row>
    <row r="483" spans="22:43" x14ac:dyDescent="0.45">
      <c r="V483" s="9">
        <v>44048</v>
      </c>
      <c r="W483" s="3">
        <v>138.66999999999999</v>
      </c>
      <c r="X483" s="2" cm="1">
        <f t="array" ref="X483">SUM($F$2:$F$5*($C$2:$C$5=$Q$2))</f>
        <v>3.0209999999999999</v>
      </c>
      <c r="Y483" s="3">
        <f t="shared" si="42"/>
        <v>418.92206999999996</v>
      </c>
      <c r="Z483" s="3">
        <v>142.77000000000001</v>
      </c>
      <c r="AA483" s="2" cm="1">
        <f t="array" ref="AA483">SUM($F$2:$F$5*($C$2:$C$5=$Q$3))</f>
        <v>0</v>
      </c>
      <c r="AB483" s="3">
        <f t="shared" si="43"/>
        <v>0</v>
      </c>
      <c r="AC483" s="3">
        <v>15.98</v>
      </c>
      <c r="AD483" s="2" cm="1">
        <f t="array" ref="AD483">SUM($F$2:$F$5*($C$2:$C$5=$Q$4))</f>
        <v>32.872999999999998</v>
      </c>
      <c r="AE483" s="3">
        <f t="shared" si="44"/>
        <v>525.31053999999995</v>
      </c>
      <c r="AF483" s="3">
        <v>11.86</v>
      </c>
      <c r="AG483" s="2" cm="1">
        <f t="array" ref="AG483">SUM($F$2:$F$5*($C$2:$C$5=$Q$5))</f>
        <v>8.7029999999999994</v>
      </c>
      <c r="AH483" s="3">
        <f t="shared" si="45"/>
        <v>103.21757999999998</v>
      </c>
      <c r="AI483" s="3">
        <v>17.21</v>
      </c>
      <c r="AJ483" s="2" cm="1">
        <f t="array" ref="AJ483">SUM($F$2:$F$5*($C$2:$C$5=$Q$6))</f>
        <v>0</v>
      </c>
      <c r="AK483" s="3">
        <f t="shared" si="46"/>
        <v>0</v>
      </c>
      <c r="AL483" s="3">
        <v>11.48</v>
      </c>
      <c r="AM483" s="2" cm="1">
        <f t="array" ref="AM483">SUM($F$2:$F$5*($C$2:$C$5=$Q$8))</f>
        <v>0</v>
      </c>
      <c r="AN483" s="3">
        <f t="shared" si="47"/>
        <v>0</v>
      </c>
      <c r="AO483" s="3">
        <f>SUM(J2:J5)</f>
        <v>800</v>
      </c>
      <c r="AP4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1847.4501899999998</v>
      </c>
      <c r="AQ483" s="3" cm="1">
        <f t="array" aca="1" ref="AQ483" ca="1">OFFSET(Table7[[#This Row],[Investment Increase]],0,-1)-SUM($J$2:$J$5*($E$2:$E$5=$Q$31))</f>
        <v>47.450189999999793</v>
      </c>
    </row>
    <row r="484" spans="22:43" x14ac:dyDescent="0.45">
      <c r="V484" s="9">
        <v>44047</v>
      </c>
      <c r="W484" s="3">
        <v>137.94999999999999</v>
      </c>
      <c r="X484" s="2" cm="1">
        <f t="array" ref="X484">SUM($F$2:$F$5*($C$2:$C$5=$Q$2))</f>
        <v>3.0209999999999999</v>
      </c>
      <c r="Y484" s="3">
        <f t="shared" si="42"/>
        <v>416.74694999999997</v>
      </c>
      <c r="Z484" s="3">
        <v>141.36000000000001</v>
      </c>
      <c r="AA484" s="2" cm="1">
        <f t="array" ref="AA484">SUM($F$2:$F$5*($C$2:$C$5=$Q$3))</f>
        <v>0</v>
      </c>
      <c r="AB484" s="3">
        <f t="shared" si="43"/>
        <v>0</v>
      </c>
      <c r="AC484" s="3">
        <v>15.86</v>
      </c>
      <c r="AD484" s="2" cm="1">
        <f t="array" ref="AD484">SUM($F$2:$F$5*($C$2:$C$5=$Q$4))</f>
        <v>32.872999999999998</v>
      </c>
      <c r="AE484" s="3">
        <f t="shared" si="44"/>
        <v>521.36577999999997</v>
      </c>
      <c r="AF484" s="3">
        <v>11.79</v>
      </c>
      <c r="AG484" s="2" cm="1">
        <f t="array" ref="AG484">SUM($F$2:$F$5*($C$2:$C$5=$Q$5))</f>
        <v>8.7029999999999994</v>
      </c>
      <c r="AH484" s="3">
        <f t="shared" si="45"/>
        <v>102.60836999999998</v>
      </c>
      <c r="AI484" s="3">
        <v>17.100000000000001</v>
      </c>
      <c r="AJ484" s="2" cm="1">
        <f t="array" ref="AJ484">SUM($F$2:$F$5*($C$2:$C$5=$Q$6))</f>
        <v>0</v>
      </c>
      <c r="AK484" s="3">
        <f t="shared" si="46"/>
        <v>0</v>
      </c>
      <c r="AL484" s="3">
        <v>11.23</v>
      </c>
      <c r="AM484" s="2" cm="1">
        <f t="array" ref="AM484">SUM($F$2:$F$5*($C$2:$C$5=$Q$8))</f>
        <v>0</v>
      </c>
      <c r="AN484" s="3">
        <f t="shared" si="47"/>
        <v>0</v>
      </c>
      <c r="AO484" s="3">
        <f>SUM(J2:J5)</f>
        <v>800</v>
      </c>
      <c r="AP4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1840.7211</v>
      </c>
      <c r="AQ484" s="3" cm="1">
        <f t="array" aca="1" ref="AQ484" ca="1">OFFSET(Table7[[#This Row],[Investment Increase]],0,-1)-SUM($J$2:$J$5*($E$2:$E$5=$Q$31))</f>
        <v>40.721099999999979</v>
      </c>
    </row>
    <row r="485" spans="22:43" x14ac:dyDescent="0.45">
      <c r="V485" s="9">
        <v>44046</v>
      </c>
      <c r="W485" s="3">
        <v>137.46</v>
      </c>
      <c r="X485" s="2" cm="1">
        <f t="array" ref="X485">SUM($F$2:$F$5*($C$2:$C$5=$Q$2))</f>
        <v>3.0209999999999999</v>
      </c>
      <c r="Y485" s="3">
        <f t="shared" si="42"/>
        <v>415.26666</v>
      </c>
      <c r="Z485" s="3">
        <v>140.57</v>
      </c>
      <c r="AA485" s="2" cm="1">
        <f t="array" ref="AA485">SUM($F$2:$F$5*($C$2:$C$5=$Q$3))</f>
        <v>0</v>
      </c>
      <c r="AB485" s="3">
        <f t="shared" si="43"/>
        <v>0</v>
      </c>
      <c r="AC485" s="3">
        <v>15.81</v>
      </c>
      <c r="AD485" s="2" cm="1">
        <f t="array" ref="AD485">SUM($F$2:$F$5*($C$2:$C$5=$Q$4))</f>
        <v>32.872999999999998</v>
      </c>
      <c r="AE485" s="3">
        <f t="shared" si="44"/>
        <v>519.72212999999999</v>
      </c>
      <c r="AF485" s="3">
        <v>11.75</v>
      </c>
      <c r="AG485" s="2" cm="1">
        <f t="array" ref="AG485">SUM($F$2:$F$5*($C$2:$C$5=$Q$5))</f>
        <v>8.7029999999999994</v>
      </c>
      <c r="AH485" s="3">
        <f t="shared" si="45"/>
        <v>102.26025</v>
      </c>
      <c r="AI485" s="3">
        <v>17.04</v>
      </c>
      <c r="AJ485" s="2" cm="1">
        <f t="array" ref="AJ485">SUM($F$2:$F$5*($C$2:$C$5=$Q$6))</f>
        <v>0</v>
      </c>
      <c r="AK485" s="3">
        <f t="shared" si="46"/>
        <v>0</v>
      </c>
      <c r="AL485" s="3">
        <v>11.02</v>
      </c>
      <c r="AM485" s="2" cm="1">
        <f t="array" ref="AM485">SUM($F$2:$F$5*($C$2:$C$5=$Q$8))</f>
        <v>0</v>
      </c>
      <c r="AN485" s="3">
        <f t="shared" si="47"/>
        <v>0</v>
      </c>
      <c r="AO485" s="3">
        <f>SUM(J2:J5)</f>
        <v>800</v>
      </c>
      <c r="AP4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1837.2490399999999</v>
      </c>
      <c r="AQ485" s="3" cm="1">
        <f t="array" aca="1" ref="AQ485" ca="1">OFFSET(Table7[[#This Row],[Investment Increase]],0,-1)-SUM($J$2:$J$5*($E$2:$E$5=$Q$31))</f>
        <v>37.249039999999923</v>
      </c>
    </row>
    <row r="486" spans="22:43" x14ac:dyDescent="0.45">
      <c r="V486" s="9">
        <v>44043</v>
      </c>
      <c r="W486" s="3">
        <v>135.47</v>
      </c>
      <c r="X486" s="2" cm="1">
        <f t="array" ref="X486">SUM($F$2:$F$5*($C$2:$C$5=$Q$2))</f>
        <v>3.0209999999999999</v>
      </c>
      <c r="Y486" s="3">
        <f t="shared" si="42"/>
        <v>409.25486999999998</v>
      </c>
      <c r="Z486" s="3">
        <v>138.1</v>
      </c>
      <c r="AA486" s="2" cm="1">
        <f t="array" ref="AA486">SUM($F$2:$F$5*($C$2:$C$5=$Q$3))</f>
        <v>0</v>
      </c>
      <c r="AB486" s="3">
        <f t="shared" si="43"/>
        <v>0</v>
      </c>
      <c r="AC486" s="3">
        <v>15.61</v>
      </c>
      <c r="AD486" s="2" cm="1">
        <f t="array" ref="AD486">SUM($F$2:$F$5*($C$2:$C$5=$Q$4))</f>
        <v>32.872999999999998</v>
      </c>
      <c r="AE486" s="3">
        <f t="shared" si="44"/>
        <v>513.14752999999996</v>
      </c>
      <c r="AF486" s="3">
        <v>11.66</v>
      </c>
      <c r="AG486" s="2" cm="1">
        <f t="array" ref="AG486">SUM($F$2:$F$5*($C$2:$C$5=$Q$5))</f>
        <v>8.7029999999999994</v>
      </c>
      <c r="AH486" s="3">
        <f t="shared" si="45"/>
        <v>101.47698</v>
      </c>
      <c r="AI486" s="3">
        <v>16.899999999999999</v>
      </c>
      <c r="AJ486" s="2" cm="1">
        <f t="array" ref="AJ486">SUM($F$2:$F$5*($C$2:$C$5=$Q$6))</f>
        <v>0</v>
      </c>
      <c r="AK486" s="3">
        <f t="shared" si="46"/>
        <v>0</v>
      </c>
      <c r="AL486" s="3">
        <v>10.92</v>
      </c>
      <c r="AM486" s="2" cm="1">
        <f t="array" ref="AM486">SUM($F$2:$F$5*($C$2:$C$5=$Q$8))</f>
        <v>0</v>
      </c>
      <c r="AN486" s="3">
        <f t="shared" si="47"/>
        <v>0</v>
      </c>
      <c r="AO486" s="3">
        <f>SUM(J2:J5)</f>
        <v>800</v>
      </c>
      <c r="AP4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1823.8793799999999</v>
      </c>
      <c r="AQ486" s="3" cm="1">
        <f t="array" aca="1" ref="AQ486" ca="1">OFFSET(Table7[[#This Row],[Investment Increase]],0,-1)-SUM($J$2:$J$5*($E$2:$E$5=$Q$31))</f>
        <v>23.879379999999855</v>
      </c>
    </row>
    <row r="487" spans="22:43" x14ac:dyDescent="0.45">
      <c r="V487" s="9">
        <v>44042</v>
      </c>
      <c r="W487" s="3">
        <v>133.49</v>
      </c>
      <c r="X487" s="2" cm="1">
        <f t="array" ref="X487">SUM($F$2:$F$5*($C$2:$C$5=$Q$2))</f>
        <v>3.0209999999999999</v>
      </c>
      <c r="Y487" s="3">
        <f t="shared" si="42"/>
        <v>403.27329000000003</v>
      </c>
      <c r="Z487" s="3">
        <v>136.29</v>
      </c>
      <c r="AA487" s="2" cm="1">
        <f t="array" ref="AA487">SUM($F$2:$F$5*($C$2:$C$5=$Q$3))</f>
        <v>0</v>
      </c>
      <c r="AB487" s="3">
        <f t="shared" si="43"/>
        <v>0</v>
      </c>
      <c r="AC487" s="3">
        <v>15.39</v>
      </c>
      <c r="AD487" s="2" cm="1">
        <f t="array" ref="AD487">SUM($F$2:$F$5*($C$2:$C$5=$Q$4))</f>
        <v>32.872999999999998</v>
      </c>
      <c r="AE487" s="3">
        <f t="shared" si="44"/>
        <v>505.91546999999997</v>
      </c>
      <c r="AF487" s="3">
        <v>11.57</v>
      </c>
      <c r="AG487" s="2" cm="1">
        <f t="array" ref="AG487">SUM($F$2:$F$5*($C$2:$C$5=$Q$5))</f>
        <v>8.7029999999999994</v>
      </c>
      <c r="AH487" s="3">
        <f t="shared" si="45"/>
        <v>100.69371</v>
      </c>
      <c r="AI487" s="3">
        <v>16.78</v>
      </c>
      <c r="AJ487" s="2" cm="1">
        <f t="array" ref="AJ487">SUM($F$2:$F$5*($C$2:$C$5=$Q$6))</f>
        <v>0</v>
      </c>
      <c r="AK487" s="3">
        <f t="shared" si="46"/>
        <v>0</v>
      </c>
      <c r="AL487" s="3">
        <v>10.99</v>
      </c>
      <c r="AM487" s="2" cm="1">
        <f t="array" ref="AM487">SUM($F$2:$F$5*($C$2:$C$5=$Q$8))</f>
        <v>0</v>
      </c>
      <c r="AN487" s="3">
        <f t="shared" si="47"/>
        <v>0</v>
      </c>
      <c r="AO487" s="3">
        <f>SUM(J2:J5)</f>
        <v>800</v>
      </c>
      <c r="AP4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1809.88247</v>
      </c>
      <c r="AQ487" s="3" cm="1">
        <f t="array" aca="1" ref="AQ487" ca="1">OFFSET(Table7[[#This Row],[Investment Increase]],0,-1)-SUM($J$2:$J$5*($E$2:$E$5=$Q$31))</f>
        <v>9.8824700000000121</v>
      </c>
    </row>
    <row r="488" spans="22:43" x14ac:dyDescent="0.45">
      <c r="V488" s="9">
        <v>44041</v>
      </c>
      <c r="W488" s="3">
        <v>132.91</v>
      </c>
      <c r="X488" s="2" cm="1">
        <f t="array" ref="X488">SUM($F$2:$F$5*($C$2:$C$5=$Q$2))</f>
        <v>3.0209999999999999</v>
      </c>
      <c r="Y488" s="3">
        <f t="shared" si="42"/>
        <v>401.52110999999996</v>
      </c>
      <c r="Z488" s="3">
        <v>135.94999999999999</v>
      </c>
      <c r="AA488" s="2" cm="1">
        <f t="array" ref="AA488">SUM($F$2:$F$5*($C$2:$C$5=$Q$3))</f>
        <v>0</v>
      </c>
      <c r="AB488" s="3">
        <f t="shared" si="43"/>
        <v>0</v>
      </c>
      <c r="AC488" s="3">
        <v>15.33</v>
      </c>
      <c r="AD488" s="2" cm="1">
        <f t="array" ref="AD488">SUM($F$2:$F$5*($C$2:$C$5=$Q$4))</f>
        <v>32.872999999999998</v>
      </c>
      <c r="AE488" s="3">
        <f t="shared" si="44"/>
        <v>503.94308999999998</v>
      </c>
      <c r="AF488" s="3">
        <v>11.61</v>
      </c>
      <c r="AG488" s="2" cm="1">
        <f t="array" ref="AG488">SUM($F$2:$F$5*($C$2:$C$5=$Q$5))</f>
        <v>8.7029999999999994</v>
      </c>
      <c r="AH488" s="3">
        <f t="shared" si="45"/>
        <v>101.04182999999999</v>
      </c>
      <c r="AI488" s="3">
        <v>16.829999999999998</v>
      </c>
      <c r="AJ488" s="2" cm="1">
        <f t="array" ref="AJ488">SUM($F$2:$F$5*($C$2:$C$5=$Q$6))</f>
        <v>0</v>
      </c>
      <c r="AK488" s="3">
        <f t="shared" si="46"/>
        <v>0</v>
      </c>
      <c r="AL488" s="3">
        <v>11.21</v>
      </c>
      <c r="AM488" s="2" cm="1">
        <f t="array" ref="AM488">SUM($F$2:$F$5*($C$2:$C$5=$Q$8))</f>
        <v>0</v>
      </c>
      <c r="AN488" s="3">
        <f t="shared" si="47"/>
        <v>0</v>
      </c>
      <c r="AO488" s="3">
        <f>SUM(J2:J5)</f>
        <v>800</v>
      </c>
      <c r="AP4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1806.50603</v>
      </c>
      <c r="AQ488" s="3" cm="1">
        <f t="array" aca="1" ref="AQ488" ca="1">OFFSET(Table7[[#This Row],[Investment Increase]],0,-1)-SUM($J$2:$J$5*($E$2:$E$5=$Q$31))</f>
        <v>6.5060300000000097</v>
      </c>
    </row>
    <row r="489" spans="22:43" x14ac:dyDescent="0.45">
      <c r="V489" s="9">
        <v>44040</v>
      </c>
      <c r="W489" s="3">
        <v>131.13</v>
      </c>
      <c r="X489" s="2" cm="1">
        <f t="array" ref="X489">SUM($F$2:$F$5*($C$2:$C$5=$Q$2))</f>
        <v>3.0209999999999999</v>
      </c>
      <c r="Y489" s="3">
        <f t="shared" si="42"/>
        <v>396.14372999999995</v>
      </c>
      <c r="Z489" s="3">
        <v>133.77000000000001</v>
      </c>
      <c r="AA489" s="2" cm="1">
        <f t="array" ref="AA489">SUM($F$2:$F$5*($C$2:$C$5=$Q$3))</f>
        <v>0</v>
      </c>
      <c r="AB489" s="3">
        <f t="shared" si="43"/>
        <v>0</v>
      </c>
      <c r="AC489" s="3">
        <v>15.14</v>
      </c>
      <c r="AD489" s="2" cm="1">
        <f t="array" ref="AD489">SUM($F$2:$F$5*($C$2:$C$5=$Q$4))</f>
        <v>32.872999999999998</v>
      </c>
      <c r="AE489" s="3">
        <f t="shared" si="44"/>
        <v>497.69721999999996</v>
      </c>
      <c r="AF489" s="3">
        <v>11.46</v>
      </c>
      <c r="AG489" s="2" cm="1">
        <f t="array" ref="AG489">SUM($F$2:$F$5*($C$2:$C$5=$Q$5))</f>
        <v>8.7029999999999994</v>
      </c>
      <c r="AH489" s="3">
        <f t="shared" si="45"/>
        <v>99.736379999999997</v>
      </c>
      <c r="AI489" s="3">
        <v>16.62</v>
      </c>
      <c r="AJ489" s="2" cm="1">
        <f t="array" ref="AJ489">SUM($F$2:$F$5*($C$2:$C$5=$Q$6))</f>
        <v>0</v>
      </c>
      <c r="AK489" s="3">
        <f t="shared" si="46"/>
        <v>0</v>
      </c>
      <c r="AL489" s="3">
        <v>11.13</v>
      </c>
      <c r="AM489" s="2" cm="1">
        <f t="array" ref="AM489">SUM($F$2:$F$5*($C$2:$C$5=$Q$8))</f>
        <v>0</v>
      </c>
      <c r="AN489" s="3">
        <f t="shared" si="47"/>
        <v>0</v>
      </c>
      <c r="AO489" s="3">
        <f>SUM(J2:J5)</f>
        <v>800</v>
      </c>
      <c r="AP4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1793.5773299999998</v>
      </c>
      <c r="AQ489" s="3" cm="1">
        <f t="array" aca="1" ref="AQ489" ca="1">OFFSET(Table7[[#This Row],[Investment Increase]],0,-1)-SUM($J$2:$J$5*($E$2:$E$5=$Q$31))</f>
        <v>-6.4226700000001529</v>
      </c>
    </row>
    <row r="490" spans="22:43" x14ac:dyDescent="0.45">
      <c r="V490" s="9">
        <v>44039</v>
      </c>
      <c r="W490" s="3">
        <v>132.82</v>
      </c>
      <c r="X490" s="2" cm="1">
        <f t="array" ref="X490">SUM($F$2:$F$5*($C$2:$C$5=$Q$2))</f>
        <v>3.0209999999999999</v>
      </c>
      <c r="Y490" s="3">
        <f t="shared" si="42"/>
        <v>401.24921999999998</v>
      </c>
      <c r="Z490" s="3">
        <v>135.57</v>
      </c>
      <c r="AA490" s="2" cm="1">
        <f t="array" ref="AA490">SUM($F$2:$F$5*($C$2:$C$5=$Q$3))</f>
        <v>0</v>
      </c>
      <c r="AB490" s="3">
        <f t="shared" si="43"/>
        <v>0</v>
      </c>
      <c r="AC490" s="3">
        <v>15.34</v>
      </c>
      <c r="AD490" s="2" cm="1">
        <f t="array" ref="AD490">SUM($F$2:$F$5*($C$2:$C$5=$Q$4))</f>
        <v>32.872999999999998</v>
      </c>
      <c r="AE490" s="3">
        <f t="shared" si="44"/>
        <v>504.27181999999993</v>
      </c>
      <c r="AF490" s="3">
        <v>11.54</v>
      </c>
      <c r="AG490" s="2" cm="1">
        <f t="array" ref="AG490">SUM($F$2:$F$5*($C$2:$C$5=$Q$5))</f>
        <v>8.7029999999999994</v>
      </c>
      <c r="AH490" s="3">
        <f t="shared" si="45"/>
        <v>100.43261999999999</v>
      </c>
      <c r="AI490" s="3">
        <v>16.73</v>
      </c>
      <c r="AJ490" s="2" cm="1">
        <f t="array" ref="AJ490">SUM($F$2:$F$5*($C$2:$C$5=$Q$6))</f>
        <v>0</v>
      </c>
      <c r="AK490" s="3">
        <f t="shared" si="46"/>
        <v>0</v>
      </c>
      <c r="AL490" s="3">
        <v>11.26</v>
      </c>
      <c r="AM490" s="2" cm="1">
        <f t="array" ref="AM490">SUM($F$2:$F$5*($C$2:$C$5=$Q$8))</f>
        <v>0</v>
      </c>
      <c r="AN490" s="3">
        <f t="shared" si="47"/>
        <v>0</v>
      </c>
      <c r="AO490" s="3">
        <f>SUM(J2:J5)</f>
        <v>800</v>
      </c>
      <c r="AP4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1805.9536599999999</v>
      </c>
      <c r="AQ490" s="3" cm="1">
        <f t="array" aca="1" ref="AQ490" ca="1">OFFSET(Table7[[#This Row],[Investment Increase]],0,-1)-SUM($J$2:$J$5*($E$2:$E$5=$Q$31))</f>
        <v>5.9536599999998998</v>
      </c>
    </row>
    <row r="491" spans="22:43" x14ac:dyDescent="0.45">
      <c r="V491" s="9">
        <v>44036</v>
      </c>
      <c r="W491" s="3">
        <v>130.63999999999999</v>
      </c>
      <c r="X491" s="2" cm="1">
        <f t="array" ref="X491">SUM($F$2:$F$5*($C$2:$C$5=$Q$2))</f>
        <v>3.0209999999999999</v>
      </c>
      <c r="Y491" s="3">
        <f t="shared" si="42"/>
        <v>394.66343999999992</v>
      </c>
      <c r="Z491" s="3">
        <v>133.13</v>
      </c>
      <c r="AA491" s="2" cm="1">
        <f t="array" ref="AA491">SUM($F$2:$F$5*($C$2:$C$5=$Q$3))</f>
        <v>0</v>
      </c>
      <c r="AB491" s="3">
        <f t="shared" si="43"/>
        <v>0</v>
      </c>
      <c r="AC491" s="3">
        <v>15.1</v>
      </c>
      <c r="AD491" s="2" cm="1">
        <f t="array" ref="AD491">SUM($F$2:$F$5*($C$2:$C$5=$Q$4))</f>
        <v>32.872999999999998</v>
      </c>
      <c r="AE491" s="3">
        <f t="shared" si="44"/>
        <v>496.38229999999993</v>
      </c>
      <c r="AF491" s="3">
        <v>11.45</v>
      </c>
      <c r="AG491" s="2" cm="1">
        <f t="array" ref="AG491">SUM($F$2:$F$5*($C$2:$C$5=$Q$5))</f>
        <v>8.7029999999999994</v>
      </c>
      <c r="AH491" s="3">
        <f t="shared" si="45"/>
        <v>99.649349999999984</v>
      </c>
      <c r="AI491" s="3">
        <v>16.59</v>
      </c>
      <c r="AJ491" s="2" cm="1">
        <f t="array" ref="AJ491">SUM($F$2:$F$5*($C$2:$C$5=$Q$6))</f>
        <v>0</v>
      </c>
      <c r="AK491" s="3">
        <f t="shared" si="46"/>
        <v>0</v>
      </c>
      <c r="AL491" s="3">
        <v>11.05</v>
      </c>
      <c r="AM491" s="2" cm="1">
        <f t="array" ref="AM491">SUM($F$2:$F$5*($C$2:$C$5=$Q$8))</f>
        <v>0</v>
      </c>
      <c r="AN491" s="3">
        <f t="shared" si="47"/>
        <v>0</v>
      </c>
      <c r="AO491" s="3">
        <f>SUM(J2:J5)</f>
        <v>800</v>
      </c>
      <c r="AP4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1790.6950899999997</v>
      </c>
      <c r="AQ491" s="3" cm="1">
        <f t="array" aca="1" ref="AQ491" ca="1">OFFSET(Table7[[#This Row],[Investment Increase]],0,-1)-SUM($J$2:$J$5*($E$2:$E$5=$Q$31))</f>
        <v>-9.3049100000002909</v>
      </c>
    </row>
    <row r="492" spans="22:43" x14ac:dyDescent="0.45">
      <c r="V492" s="9">
        <v>44035</v>
      </c>
      <c r="W492" s="3">
        <v>131.88</v>
      </c>
      <c r="X492" s="2" cm="1">
        <f t="array" ref="X492">SUM($F$2:$F$5*($C$2:$C$5=$Q$2))</f>
        <v>3.0209999999999999</v>
      </c>
      <c r="Y492" s="3">
        <f t="shared" si="42"/>
        <v>398.40947999999997</v>
      </c>
      <c r="Z492" s="3">
        <v>134.09</v>
      </c>
      <c r="AA492" s="2" cm="1">
        <f t="array" ref="AA492">SUM($F$2:$F$5*($C$2:$C$5=$Q$3))</f>
        <v>0</v>
      </c>
      <c r="AB492" s="3">
        <f t="shared" si="43"/>
        <v>0</v>
      </c>
      <c r="AC492" s="3">
        <v>15.19</v>
      </c>
      <c r="AD492" s="2" cm="1">
        <f t="array" ref="AD492">SUM($F$2:$F$5*($C$2:$C$5=$Q$4))</f>
        <v>32.872999999999998</v>
      </c>
      <c r="AE492" s="3">
        <f t="shared" si="44"/>
        <v>499.34086999999994</v>
      </c>
      <c r="AF492" s="3">
        <v>11.53</v>
      </c>
      <c r="AG492" s="2" cm="1">
        <f t="array" ref="AG492">SUM($F$2:$F$5*($C$2:$C$5=$Q$5))</f>
        <v>8.7029999999999994</v>
      </c>
      <c r="AH492" s="3">
        <f t="shared" si="45"/>
        <v>100.34558999999999</v>
      </c>
      <c r="AI492" s="3">
        <v>16.670000000000002</v>
      </c>
      <c r="AJ492" s="2" cm="1">
        <f t="array" ref="AJ492">SUM($F$2:$F$5*($C$2:$C$5=$Q$6))</f>
        <v>0</v>
      </c>
      <c r="AK492" s="3">
        <f t="shared" si="46"/>
        <v>0</v>
      </c>
      <c r="AL492" s="3">
        <v>11.03</v>
      </c>
      <c r="AM492" s="2" cm="1">
        <f t="array" ref="AM492">SUM($F$2:$F$5*($C$2:$C$5=$Q$8))</f>
        <v>0</v>
      </c>
      <c r="AN492" s="3">
        <f t="shared" si="47"/>
        <v>0</v>
      </c>
      <c r="AO492" s="3">
        <f>SUM(J2:J5)</f>
        <v>800</v>
      </c>
      <c r="AP4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1798.0959399999999</v>
      </c>
      <c r="AQ492" s="3" cm="1">
        <f t="array" aca="1" ref="AQ492" ca="1">OFFSET(Table7[[#This Row],[Investment Increase]],0,-1)-SUM($J$2:$J$5*($E$2:$E$5=$Q$31))</f>
        <v>-1.9040600000000723</v>
      </c>
    </row>
    <row r="493" spans="22:43" x14ac:dyDescent="0.45">
      <c r="V493" s="9">
        <v>44034</v>
      </c>
      <c r="W493" s="3">
        <v>134.97</v>
      </c>
      <c r="X493" s="2" cm="1">
        <f t="array" ref="X493">SUM($F$2:$F$5*($C$2:$C$5=$Q$2))</f>
        <v>3.0209999999999999</v>
      </c>
      <c r="Y493" s="3">
        <f t="shared" si="42"/>
        <v>407.74437</v>
      </c>
      <c r="Z493" s="3">
        <v>137.34</v>
      </c>
      <c r="AA493" s="2" cm="1">
        <f t="array" ref="AA493">SUM($F$2:$F$5*($C$2:$C$5=$Q$3))</f>
        <v>0</v>
      </c>
      <c r="AB493" s="3">
        <f t="shared" si="43"/>
        <v>0</v>
      </c>
      <c r="AC493" s="3">
        <v>15.54</v>
      </c>
      <c r="AD493" s="2" cm="1">
        <f t="array" ref="AD493">SUM($F$2:$F$5*($C$2:$C$5=$Q$4))</f>
        <v>32.872999999999998</v>
      </c>
      <c r="AE493" s="3">
        <f t="shared" si="44"/>
        <v>510.84641999999991</v>
      </c>
      <c r="AF493" s="3">
        <v>11.68</v>
      </c>
      <c r="AG493" s="2" cm="1">
        <f t="array" ref="AG493">SUM($F$2:$F$5*($C$2:$C$5=$Q$5))</f>
        <v>8.7029999999999994</v>
      </c>
      <c r="AH493" s="3">
        <f t="shared" si="45"/>
        <v>101.65103999999999</v>
      </c>
      <c r="AI493" s="3">
        <v>16.89</v>
      </c>
      <c r="AJ493" s="2" cm="1">
        <f t="array" ref="AJ493">SUM($F$2:$F$5*($C$2:$C$5=$Q$6))</f>
        <v>0</v>
      </c>
      <c r="AK493" s="3">
        <f t="shared" si="46"/>
        <v>0</v>
      </c>
      <c r="AL493" s="3">
        <v>11.04</v>
      </c>
      <c r="AM493" s="2" cm="1">
        <f t="array" ref="AM493">SUM($F$2:$F$5*($C$2:$C$5=$Q$8))</f>
        <v>0</v>
      </c>
      <c r="AN493" s="3">
        <f t="shared" si="47"/>
        <v>0</v>
      </c>
      <c r="AO493" s="3">
        <f>SUM(J2:J5)</f>
        <v>800</v>
      </c>
      <c r="AP4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1820.2418299999999</v>
      </c>
      <c r="AQ493" s="3" cm="1">
        <f t="array" aca="1" ref="AQ493" ca="1">OFFSET(Table7[[#This Row],[Investment Increase]],0,-1)-SUM($J$2:$J$5*($E$2:$E$5=$Q$31))</f>
        <v>20.241829999999936</v>
      </c>
    </row>
    <row r="494" spans="22:43" x14ac:dyDescent="0.45">
      <c r="V494" s="9">
        <v>44033</v>
      </c>
      <c r="W494" s="3">
        <v>134.63999999999999</v>
      </c>
      <c r="X494" s="2" cm="1">
        <f t="array" ref="X494">SUM($F$2:$F$5*($C$2:$C$5=$Q$2))</f>
        <v>3.0209999999999999</v>
      </c>
      <c r="Y494" s="3">
        <f t="shared" si="42"/>
        <v>406.74743999999993</v>
      </c>
      <c r="Z494" s="3">
        <v>136.9</v>
      </c>
      <c r="AA494" s="2" cm="1">
        <f t="array" ref="AA494">SUM($F$2:$F$5*($C$2:$C$5=$Q$3))</f>
        <v>0</v>
      </c>
      <c r="AB494" s="3">
        <f t="shared" si="43"/>
        <v>0</v>
      </c>
      <c r="AC494" s="3">
        <v>15.49</v>
      </c>
      <c r="AD494" s="2" cm="1">
        <f t="array" ref="AD494">SUM($F$2:$F$5*($C$2:$C$5=$Q$4))</f>
        <v>32.872999999999998</v>
      </c>
      <c r="AE494" s="3">
        <f t="shared" si="44"/>
        <v>509.20276999999999</v>
      </c>
      <c r="AF494" s="3">
        <v>11.61</v>
      </c>
      <c r="AG494" s="2" cm="1">
        <f t="array" ref="AG494">SUM($F$2:$F$5*($C$2:$C$5=$Q$5))</f>
        <v>8.7029999999999994</v>
      </c>
      <c r="AH494" s="3">
        <f t="shared" si="45"/>
        <v>101.04182999999999</v>
      </c>
      <c r="AI494" s="3">
        <v>16.79</v>
      </c>
      <c r="AJ494" s="2" cm="1">
        <f t="array" ref="AJ494">SUM($F$2:$F$5*($C$2:$C$5=$Q$6))</f>
        <v>0</v>
      </c>
      <c r="AK494" s="3">
        <f t="shared" si="46"/>
        <v>0</v>
      </c>
      <c r="AL494" s="3">
        <v>11.05</v>
      </c>
      <c r="AM494" s="2" cm="1">
        <f t="array" ref="AM494">SUM($F$2:$F$5*($C$2:$C$5=$Q$8))</f>
        <v>0</v>
      </c>
      <c r="AN494" s="3">
        <f t="shared" si="47"/>
        <v>0</v>
      </c>
      <c r="AO494" s="3">
        <f>SUM(J2:J5)</f>
        <v>800</v>
      </c>
      <c r="AP4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1816.9920400000001</v>
      </c>
      <c r="AQ494" s="3" cm="1">
        <f t="array" aca="1" ref="AQ494" ca="1">OFFSET(Table7[[#This Row],[Investment Increase]],0,-1)-SUM($J$2:$J$5*($E$2:$E$5=$Q$31))</f>
        <v>16.992040000000088</v>
      </c>
    </row>
    <row r="495" spans="22:43" x14ac:dyDescent="0.45">
      <c r="V495" s="9">
        <v>44032</v>
      </c>
      <c r="W495" s="3">
        <v>135.72999999999999</v>
      </c>
      <c r="X495" s="2" cm="1">
        <f t="array" ref="X495">SUM($F$2:$F$5*($C$2:$C$5=$Q$2))</f>
        <v>3.0209999999999999</v>
      </c>
      <c r="Y495" s="3">
        <f t="shared" si="42"/>
        <v>410.04032999999998</v>
      </c>
      <c r="Z495" s="3">
        <v>138.34</v>
      </c>
      <c r="AA495" s="2" cm="1">
        <f t="array" ref="AA495">SUM($F$2:$F$5*($C$2:$C$5=$Q$3))</f>
        <v>0</v>
      </c>
      <c r="AB495" s="3">
        <f t="shared" si="43"/>
        <v>0</v>
      </c>
      <c r="AC495" s="3">
        <v>15.62</v>
      </c>
      <c r="AD495" s="2" cm="1">
        <f t="array" ref="AD495">SUM($F$2:$F$5*($C$2:$C$5=$Q$4))</f>
        <v>32.872999999999998</v>
      </c>
      <c r="AE495" s="3">
        <f t="shared" si="44"/>
        <v>513.47625999999991</v>
      </c>
      <c r="AF495" s="3">
        <v>11.6</v>
      </c>
      <c r="AG495" s="2" cm="1">
        <f t="array" ref="AG495">SUM($F$2:$F$5*($C$2:$C$5=$Q$5))</f>
        <v>8.7029999999999994</v>
      </c>
      <c r="AH495" s="3">
        <f t="shared" si="45"/>
        <v>100.95479999999999</v>
      </c>
      <c r="AI495" s="3">
        <v>16.79</v>
      </c>
      <c r="AJ495" s="2" cm="1">
        <f t="array" ref="AJ495">SUM($F$2:$F$5*($C$2:$C$5=$Q$6))</f>
        <v>0</v>
      </c>
      <c r="AK495" s="3">
        <f t="shared" si="46"/>
        <v>0</v>
      </c>
      <c r="AL495" s="3">
        <v>10.89</v>
      </c>
      <c r="AM495" s="2" cm="1">
        <f t="array" ref="AM495">SUM($F$2:$F$5*($C$2:$C$5=$Q$8))</f>
        <v>0</v>
      </c>
      <c r="AN495" s="3">
        <f t="shared" si="47"/>
        <v>0</v>
      </c>
      <c r="AO495" s="3">
        <f>SUM(J2:J5)</f>
        <v>800</v>
      </c>
      <c r="AP4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1824.4713899999999</v>
      </c>
      <c r="AQ495" s="3" cm="1">
        <f t="array" aca="1" ref="AQ495" ca="1">OFFSET(Table7[[#This Row],[Investment Increase]],0,-1)-SUM($J$2:$J$5*($E$2:$E$5=$Q$31))</f>
        <v>24.471389999999928</v>
      </c>
    </row>
    <row r="496" spans="22:43" x14ac:dyDescent="0.45">
      <c r="V496" s="9">
        <v>44029</v>
      </c>
      <c r="W496" s="3">
        <v>132.4</v>
      </c>
      <c r="X496" s="2" cm="1">
        <f t="array" ref="X496">SUM($F$2:$F$2*($C$2:$C$2=$Q$2))</f>
        <v>0</v>
      </c>
      <c r="Y496" s="3">
        <f t="shared" si="42"/>
        <v>0</v>
      </c>
      <c r="Z496" s="3">
        <v>134.56</v>
      </c>
      <c r="AA496" s="2" cm="1">
        <f t="array" ref="AA496">SUM($F$2:$F$2*($C$2:$C$2=$Q$3))</f>
        <v>0</v>
      </c>
      <c r="AB496" s="3">
        <f t="shared" si="43"/>
        <v>0</v>
      </c>
      <c r="AC496" s="3">
        <v>15.21</v>
      </c>
      <c r="AD496" s="2" cm="1">
        <f t="array" ref="AD496">SUM($F$2:$F$2*($C$2:$C$2=$Q$4))</f>
        <v>0</v>
      </c>
      <c r="AE496" s="3">
        <f t="shared" si="44"/>
        <v>0</v>
      </c>
      <c r="AF496" s="3">
        <v>11.49</v>
      </c>
      <c r="AG496" s="2" cm="1">
        <f t="array" ref="AG496">SUM($F$2:$F$2*($C$2:$C$2=$Q$5))</f>
        <v>0</v>
      </c>
      <c r="AH496" s="3">
        <f t="shared" si="45"/>
        <v>0</v>
      </c>
      <c r="AI496" s="3">
        <v>16.64</v>
      </c>
      <c r="AJ496" s="2" cm="1">
        <f t="array" ref="AJ496">SUM($F$2:$F$2*($C$2:$C$2=$Q$6))</f>
        <v>0</v>
      </c>
      <c r="AK496" s="3">
        <f t="shared" si="46"/>
        <v>0</v>
      </c>
      <c r="AL496" s="3">
        <v>10.92</v>
      </c>
      <c r="AM496" s="2" cm="1">
        <f t="array" ref="AM496">SUM($F$2:$F$2*($C$2:$C$2=$Q$8))</f>
        <v>0</v>
      </c>
      <c r="AN496" s="3">
        <f t="shared" si="47"/>
        <v>0</v>
      </c>
      <c r="AO496" s="3">
        <f>SUM(J2:J2)</f>
        <v>1800</v>
      </c>
      <c r="AP4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6" s="3" cm="1">
        <f t="array" aca="1" ref="AQ496" ca="1">OFFSET(Table7[[#This Row],[Investment Increase]],0,-1)-SUM($J$2:$J$2*($E$2:$E$2=$Q$31))</f>
        <v>0</v>
      </c>
    </row>
    <row r="497" spans="22:43" x14ac:dyDescent="0.45">
      <c r="V497" s="9">
        <v>44028</v>
      </c>
      <c r="W497" s="3">
        <v>132.03</v>
      </c>
      <c r="X497" s="2" cm="1">
        <f t="array" ref="X497">SUM($F$2:$F$2*($C$2:$C$2=$Q$2))</f>
        <v>0</v>
      </c>
      <c r="Y497" s="3">
        <f t="shared" si="42"/>
        <v>0</v>
      </c>
      <c r="Z497" s="3">
        <v>134.15</v>
      </c>
      <c r="AA497" s="2" cm="1">
        <f t="array" ref="AA497">SUM($F$2:$F$2*($C$2:$C$2=$Q$3))</f>
        <v>0</v>
      </c>
      <c r="AB497" s="3">
        <f t="shared" si="43"/>
        <v>0</v>
      </c>
      <c r="AC497" s="3">
        <v>15.18</v>
      </c>
      <c r="AD497" s="2" cm="1">
        <f t="array" ref="AD497">SUM($F$2:$F$2*($C$2:$C$2=$Q$4))</f>
        <v>0</v>
      </c>
      <c r="AE497" s="3">
        <f t="shared" si="44"/>
        <v>0</v>
      </c>
      <c r="AF497" s="3">
        <v>11.45</v>
      </c>
      <c r="AG497" s="2" cm="1">
        <f t="array" ref="AG497">SUM($F$2:$F$2*($C$2:$C$2=$Q$5))</f>
        <v>0</v>
      </c>
      <c r="AH497" s="3">
        <f t="shared" si="45"/>
        <v>0</v>
      </c>
      <c r="AI497" s="3">
        <v>16.600000000000001</v>
      </c>
      <c r="AJ497" s="2" cm="1">
        <f t="array" ref="AJ497">SUM($F$2:$F$2*($C$2:$C$2=$Q$6))</f>
        <v>0</v>
      </c>
      <c r="AK497" s="3">
        <f t="shared" si="46"/>
        <v>0</v>
      </c>
      <c r="AL497" s="3">
        <v>10.85</v>
      </c>
      <c r="AM497" s="2" cm="1">
        <f t="array" ref="AM497">SUM($F$2:$F$2*($C$2:$C$2=$Q$8))</f>
        <v>0</v>
      </c>
      <c r="AN497" s="3">
        <f t="shared" si="47"/>
        <v>0</v>
      </c>
      <c r="AO497" s="3">
        <f>SUM(J2:J2)</f>
        <v>1800</v>
      </c>
      <c r="AP4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7" s="3" cm="1">
        <f t="array" aca="1" ref="AQ497" ca="1">OFFSET(Table7[[#This Row],[Investment Increase]],0,-1)-SUM($J$2:$J$2*($E$2:$E$2=$Q$31))</f>
        <v>0</v>
      </c>
    </row>
    <row r="498" spans="22:43" x14ac:dyDescent="0.45">
      <c r="V498" s="9">
        <v>44027</v>
      </c>
      <c r="W498" s="3">
        <v>133</v>
      </c>
      <c r="X498" s="2">
        <f>X499</f>
        <v>0</v>
      </c>
      <c r="Y498" s="3">
        <f t="shared" si="42"/>
        <v>0</v>
      </c>
      <c r="Z498" s="3">
        <v>134.37</v>
      </c>
      <c r="AA498" s="2" cm="1">
        <f t="array" ref="AA498">SUM($F$2:$F$2*($C$2:$C$2=$Q$3))</f>
        <v>0</v>
      </c>
      <c r="AB498" s="3">
        <f t="shared" si="43"/>
        <v>0</v>
      </c>
      <c r="AC498" s="3">
        <v>15.32</v>
      </c>
      <c r="AD498" s="2" cm="1">
        <f t="array" ref="AD498">SUM($F$2:$F$2*($C$2:$C$2=$Q$4))</f>
        <v>0</v>
      </c>
      <c r="AE498" s="3">
        <f t="shared" si="44"/>
        <v>0</v>
      </c>
      <c r="AF498" s="3">
        <v>11.49</v>
      </c>
      <c r="AG498" s="2" cm="1">
        <f t="array" ref="AG498">SUM($F$2:$F$2*($C$2:$C$2=$Q$5))</f>
        <v>0</v>
      </c>
      <c r="AH498" s="3">
        <f t="shared" si="45"/>
        <v>0</v>
      </c>
      <c r="AI498" s="3">
        <v>16.649999999999999</v>
      </c>
      <c r="AJ498" s="2">
        <f>AJ499</f>
        <v>0</v>
      </c>
      <c r="AK498" s="3">
        <f t="shared" si="46"/>
        <v>0</v>
      </c>
      <c r="AL498" s="3">
        <v>10.92</v>
      </c>
      <c r="AM498" s="2">
        <f>AM499</f>
        <v>0</v>
      </c>
      <c r="AN498" s="3">
        <f t="shared" si="47"/>
        <v>0</v>
      </c>
      <c r="AO498" s="3">
        <f>SUM(J2:J2)</f>
        <v>1800</v>
      </c>
      <c r="AP4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8" s="3" cm="1">
        <f t="array" aca="1" ref="AQ498" ca="1">OFFSET(Table7[[#This Row],[Investment Increase]],0,-1)-SUM($J$2:$J$2*($E$2:$E$2=$Q$31))</f>
        <v>0</v>
      </c>
    </row>
  </sheetData>
  <phoneticPr fontId="3" type="noConversion"/>
  <conditionalFormatting sqref="AR2:XFD498 V6:AI498 A1:XFD1 A499:XFD1048576 AK6:AL498 AN6:AQ498 T31:U34 A76:U498 B75:U75 A31:R34 A35:U74 B14:U14 A2:U13 A15:U30">
    <cfRule type="containsText" dxfId="140" priority="17" operator="containsText" text="Fidelity Global Commodity Stock Fund (FFGCX)">
      <formula>NOT(ISERROR(SEARCH("Fidelity Global Commodity Stock Fund (FFGCX)",A1)))</formula>
    </cfRule>
    <cfRule type="containsText" dxfId="139" priority="18" operator="containsText" text="Fidelity Large Cap Core Enhanced Index Fund (FLCEX)">
      <formula>NOT(ISERROR(SEARCH("Fidelity Large Cap Core Enhanced Index Fund (FLCEX)",A1)))</formula>
    </cfRule>
  </conditionalFormatting>
  <conditionalFormatting sqref="X5">
    <cfRule type="containsText" dxfId="138" priority="15" operator="containsText" text="Fidelity Global Commodity Stock Fund (FFGCX)">
      <formula>NOT(ISERROR(SEARCH("Fidelity Global Commodity Stock Fund (FFGCX)",X5)))</formula>
    </cfRule>
    <cfRule type="containsText" dxfId="137" priority="16" operator="containsText" text="Fidelity Large Cap Core Enhanced Index Fund (FLCEX)">
      <formula>NOT(ISERROR(SEARCH("Fidelity Large Cap Core Enhanced Index Fund (FLCEX)",X5)))</formula>
    </cfRule>
  </conditionalFormatting>
  <conditionalFormatting sqref="AA5">
    <cfRule type="containsText" dxfId="136" priority="13" operator="containsText" text="Fidelity Global Commodity Stock Fund (FFGCX)">
      <formula>NOT(ISERROR(SEARCH("Fidelity Global Commodity Stock Fund (FFGCX)",AA5)))</formula>
    </cfRule>
    <cfRule type="containsText" dxfId="135" priority="14" operator="containsText" text="Fidelity Large Cap Core Enhanced Index Fund (FLCEX)">
      <formula>NOT(ISERROR(SEARCH("Fidelity Large Cap Core Enhanced Index Fund (FLCEX)",AA5)))</formula>
    </cfRule>
  </conditionalFormatting>
  <conditionalFormatting sqref="AD5">
    <cfRule type="containsText" dxfId="134" priority="11" operator="containsText" text="Fidelity Global Commodity Stock Fund (FFGCX)">
      <formula>NOT(ISERROR(SEARCH("Fidelity Global Commodity Stock Fund (FFGCX)",AD5)))</formula>
    </cfRule>
    <cfRule type="containsText" dxfId="133" priority="12" operator="containsText" text="Fidelity Large Cap Core Enhanced Index Fund (FLCEX)">
      <formula>NOT(ISERROR(SEARCH("Fidelity Large Cap Core Enhanced Index Fund (FLCEX)",AD5)))</formula>
    </cfRule>
  </conditionalFormatting>
  <conditionalFormatting sqref="AG5">
    <cfRule type="containsText" dxfId="132" priority="9" operator="containsText" text="Fidelity Global Commodity Stock Fund (FFGCX)">
      <formula>NOT(ISERROR(SEARCH("Fidelity Global Commodity Stock Fund (FFGCX)",AG5)))</formula>
    </cfRule>
    <cfRule type="containsText" dxfId="131" priority="10" operator="containsText" text="Fidelity Large Cap Core Enhanced Index Fund (FLCEX)">
      <formula>NOT(ISERROR(SEARCH("Fidelity Large Cap Core Enhanced Index Fund (FLCEX)",AG5)))</formula>
    </cfRule>
  </conditionalFormatting>
  <conditionalFormatting sqref="AJ6:AJ498">
    <cfRule type="containsText" dxfId="130" priority="7" operator="containsText" text="Fidelity Global Commodity Stock Fund (FFGCX)">
      <formula>NOT(ISERROR(SEARCH("Fidelity Global Commodity Stock Fund (FFGCX)",AJ6)))</formula>
    </cfRule>
    <cfRule type="containsText" dxfId="129" priority="8" operator="containsText" text="Fidelity Large Cap Core Enhanced Index Fund (FLCEX)">
      <formula>NOT(ISERROR(SEARCH("Fidelity Large Cap Core Enhanced Index Fund (FLCEX)",AJ6)))</formula>
    </cfRule>
  </conditionalFormatting>
  <conditionalFormatting sqref="AJ5">
    <cfRule type="containsText" dxfId="128" priority="5" operator="containsText" text="Fidelity Global Commodity Stock Fund (FFGCX)">
      <formula>NOT(ISERROR(SEARCH("Fidelity Global Commodity Stock Fund (FFGCX)",AJ5)))</formula>
    </cfRule>
    <cfRule type="containsText" dxfId="127" priority="6" operator="containsText" text="Fidelity Large Cap Core Enhanced Index Fund (FLCEX)">
      <formula>NOT(ISERROR(SEARCH("Fidelity Large Cap Core Enhanced Index Fund (FLCEX)",AJ5)))</formula>
    </cfRule>
  </conditionalFormatting>
  <conditionalFormatting sqref="AM6:AM498">
    <cfRule type="containsText" dxfId="126" priority="3" operator="containsText" text="Fidelity Global Commodity Stock Fund (FFGCX)">
      <formula>NOT(ISERROR(SEARCH("Fidelity Global Commodity Stock Fund (FFGCX)",AM6)))</formula>
    </cfRule>
    <cfRule type="containsText" dxfId="125" priority="4" operator="containsText" text="Fidelity Large Cap Core Enhanced Index Fund (FLCEX)">
      <formula>NOT(ISERROR(SEARCH("Fidelity Large Cap Core Enhanced Index Fund (FLCEX)",AM6)))</formula>
    </cfRule>
  </conditionalFormatting>
  <conditionalFormatting sqref="AM5">
    <cfRule type="containsText" dxfId="124" priority="1" operator="containsText" text="Fidelity Global Commodity Stock Fund (FFGCX)">
      <formula>NOT(ISERROR(SEARCH("Fidelity Global Commodity Stock Fund (FFGCX)",AM5)))</formula>
    </cfRule>
    <cfRule type="containsText" dxfId="123" priority="2" operator="containsText" text="Fidelity Large Cap Core Enhanced Index Fund (FLCEX)">
      <formula>NOT(ISERROR(SEARCH("Fidelity Large Cap Core Enhanced Index Fund (FLCEX)",AM5)))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9" operator="containsText" id="{8510969D-6D70-413E-B2C1-9ED87447E9AF}">
            <xm:f>NOT(ISERROR(SEARCH($C$10,C1)))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20" operator="containsText" id="{31361B75-464E-4E43-BB68-EF57BD718DD6}">
            <xm:f>NOT(ISERROR(SEARCH($C$5,C1)))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21" operator="containsText" id="{74CBEED7-57C5-498C-999F-B7D6879993AD}">
            <xm:f>NOT(ISERROR(SEARCH($C$4,C1)))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22" operator="containsText" id="{90B857BB-B2A0-4450-92BF-69D1C8A7DBA9}">
            <xm:f>NOT(ISERROR(SEARCH($C$3,C1)))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C1:C35 C39:C42 C44 C47 C50:C51 C53 C55 C58 C61:C69 C71:C1048576</xm:sqref>
        </x14:conditionalFormatting>
        <x14:conditionalFormatting xmlns:xm="http://schemas.microsoft.com/office/excel/2006/main">
          <x14:cfRule type="containsText" priority="115" operator="containsText" id="{4AD5E100-2D98-4562-A70E-65246B5CAA0A}">
            <xm:f>NOT(ISERROR(SEARCH($C$10,Q2)))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16" operator="containsText" id="{94545678-2447-4658-B422-5B9BE30A8AB0}">
            <xm:f>NOT(ISERROR(SEARCH($C$5,Q2)))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17" operator="containsText" id="{44BF60A8-ECD0-4267-BCB2-711827C9816C}">
            <xm:f>NOT(ISERROR(SEARCH($C$4,Q2)))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8" operator="containsText" id="{18CFFCBD-115D-4071-B395-B1D366D8926E}">
            <xm:f>NOT(ISERROR(SEARCH($C$3,Q2)))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Q2</xm:sqref>
        </x14:conditionalFormatting>
        <x14:conditionalFormatting xmlns:xm="http://schemas.microsoft.com/office/excel/2006/main">
          <x14:cfRule type="containsText" priority="111" operator="containsText" id="{4BE97AE6-79C7-4046-902C-52758585AF43}">
            <xm:f>NOT(ISERROR(SEARCH($C$10,Q5)))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12" operator="containsText" id="{43E12173-B428-4635-9C06-C36A05A36D91}">
            <xm:f>NOT(ISERROR(SEARCH($C$5,Q5)))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13" operator="containsText" id="{154030F8-AA13-4ECF-9F15-ECF3816CF206}">
            <xm:f>NOT(ISERROR(SEARCH($C$4,Q5)))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4" operator="containsText" id="{5F363969-801A-4C02-91E3-CA5385749625}">
            <xm:f>NOT(ISERROR(SEARCH($C$3,Q5)))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107" operator="containsText" id="{0E85F28B-1CC7-4D93-9DE7-416EAB67F7A7}">
            <xm:f>NOT(ISERROR(SEARCH($C$10,Q3)))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8" operator="containsText" id="{C58D606B-3311-4B33-B896-8E7A71D68B3E}">
            <xm:f>NOT(ISERROR(SEARCH($C$5,Q3)))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9" operator="containsText" id="{CBD6D29F-1C66-47F4-BAD4-A161C24A606C}">
            <xm:f>NOT(ISERROR(SEARCH($C$4,Q3)))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0" operator="containsText" id="{CAF235FA-91D0-4C0A-B0DB-91E560E9D754}">
            <xm:f>NOT(ISERROR(SEARCH($C$3,Q3)))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Q3</xm:sqref>
        </x14:conditionalFormatting>
        <x14:conditionalFormatting xmlns:xm="http://schemas.microsoft.com/office/excel/2006/main">
          <x14:cfRule type="containsText" priority="103" operator="containsText" id="{BA010CC8-EA02-44B9-8A0A-1D2E0E2DB380}">
            <xm:f>NOT(ISERROR(SEARCH($C$10,Q4)))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4" operator="containsText" id="{7ED2A1A9-3F7B-4321-B28F-765E52A2AA78}">
            <xm:f>NOT(ISERROR(SEARCH($C$5,Q4)))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5" operator="containsText" id="{B4351840-7EFD-43A7-BB27-33C4557EB9F3}">
            <xm:f>NOT(ISERROR(SEARCH($C$4,Q4)))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06" operator="containsText" id="{A3FD7584-6953-4260-A7E6-844637B2FE4F}">
            <xm:f>NOT(ISERROR(SEARCH($C$3,Q4)))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Q4</xm:sqref>
        </x14:conditionalFormatting>
        <x14:conditionalFormatting xmlns:xm="http://schemas.microsoft.com/office/excel/2006/main">
          <x14:cfRule type="containsText" priority="99" operator="containsText" id="{32356B45-1B95-47D8-9788-7723B523FA8A}">
            <xm:f>NOT(ISERROR(SEARCH($C$10,AQ250)))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0" operator="containsText" id="{2A90DE53-BE64-40EB-8468-A69B5759D01F}">
            <xm:f>NOT(ISERROR(SEARCH($C$5,AQ250)))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1" operator="containsText" id="{DC11AC92-06E4-4AFA-A085-91C959551C2F}">
            <xm:f>NOT(ISERROR(SEARCH($C$4,AQ250)))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02" operator="containsText" id="{00795EC6-C423-49B7-9886-FE5DE2A1436C}">
            <xm:f>NOT(ISERROR(SEARCH($C$3,AQ250)))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AQ250</xm:sqref>
        </x14:conditionalFormatting>
        <x14:conditionalFormatting xmlns:xm="http://schemas.microsoft.com/office/excel/2006/main">
          <x14:cfRule type="containsText" priority="95" operator="containsText" id="{0F2AB122-C8F8-4E19-A04C-390A756EEDB7}">
            <xm:f>NOT(ISERROR(SEARCH($C$10,AQ253)))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96" operator="containsText" id="{3D1613EE-3E3C-4C78-BA51-99441D81F42F}">
            <xm:f>NOT(ISERROR(SEARCH($C$5,AQ253)))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97" operator="containsText" id="{8B117C29-E83C-40F2-8585-4AF6AB7BEE32}">
            <xm:f>NOT(ISERROR(SEARCH($C$4,AQ253)))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8" operator="containsText" id="{AE95E475-45FA-4F62-B581-D3E7A9EC0CE8}">
            <xm:f>NOT(ISERROR(SEARCH($C$3,AQ253)))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AQ253</xm:sqref>
        </x14:conditionalFormatting>
        <x14:conditionalFormatting xmlns:xm="http://schemas.microsoft.com/office/excel/2006/main">
          <x14:cfRule type="containsText" priority="91" operator="containsText" id="{2FF2D365-22AF-4F2E-8B1D-52FE8794A06B}">
            <xm:f>NOT(ISERROR(SEARCH($C$10,AQ251)))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92" operator="containsText" id="{6B1E641D-D82B-471D-B0FB-76D5DDF7AFC1}">
            <xm:f>NOT(ISERROR(SEARCH($C$5,AQ251)))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93" operator="containsText" id="{3E7EFE82-0469-46C8-A69B-B53ABE7E7889}">
            <xm:f>NOT(ISERROR(SEARCH($C$4,AQ251)))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4" operator="containsText" id="{6F902F87-26BA-45C6-A255-737F57EB9E4F}">
            <xm:f>NOT(ISERROR(SEARCH($C$3,AQ251)))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AQ251</xm:sqref>
        </x14:conditionalFormatting>
        <x14:conditionalFormatting xmlns:xm="http://schemas.microsoft.com/office/excel/2006/main">
          <x14:cfRule type="containsText" priority="87" operator="containsText" id="{27A8FA42-2470-4A60-B593-A9A7246A8CFF}">
            <xm:f>NOT(ISERROR(SEARCH($C$10,AQ252)))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8" operator="containsText" id="{0D336179-FD06-4701-8AC0-7F42D8F4E3CD}">
            <xm:f>NOT(ISERROR(SEARCH($C$5,AQ252)))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9" operator="containsText" id="{DABDE32A-07AE-4654-8E65-FCACDBD7B1EE}">
            <xm:f>NOT(ISERROR(SEARCH($C$4,AQ252)))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0" operator="containsText" id="{33E19055-FD64-4FCA-B333-EC8A8B47218C}">
            <xm:f>NOT(ISERROR(SEARCH($C$3,AQ252)))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AQ252</xm:sqref>
        </x14:conditionalFormatting>
        <x14:conditionalFormatting xmlns:xm="http://schemas.microsoft.com/office/excel/2006/main">
          <x14:cfRule type="containsText" priority="83" operator="containsText" id="{70D03B31-0123-4C5E-A9B8-89A2C116DE66}">
            <xm:f>NOT(ISERROR(SEARCH($C$10,C36)))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4" operator="containsText" id="{A1D68A04-6421-41BC-BCC3-20256D83B9FA}">
            <xm:f>NOT(ISERROR(SEARCH($C$5,C36)))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5" operator="containsText" id="{A59C05B7-441C-43C2-9DC4-62A1FEF6A002}">
            <xm:f>NOT(ISERROR(SEARCH($C$4,C36)))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86" operator="containsText" id="{93AAE765-D543-4D48-BEEA-923F22B0A3E4}">
            <xm:f>NOT(ISERROR(SEARCH($C$3,C36)))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ontainsText" priority="79" operator="containsText" id="{B9E9A2D9-D7BC-45F0-8BD7-BBBC9114CF95}">
            <xm:f>NOT(ISERROR(SEARCH($C$10,C37)))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0" operator="containsText" id="{7DF87644-EC25-4B0E-A5BB-B1F8697ACCAB}">
            <xm:f>NOT(ISERROR(SEARCH($C$5,C37)))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1" operator="containsText" id="{CDFAD16D-5B92-4512-9292-3CCCBED26157}">
            <xm:f>NOT(ISERROR(SEARCH($C$4,C37)))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82" operator="containsText" id="{4C6DE9C2-72AB-46D6-A09D-BD1D94977ECD}">
            <xm:f>NOT(ISERROR(SEARCH($C$3,C37)))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containsText" priority="75" operator="containsText" id="{C281F232-D22A-4C94-BCDB-4B3DADFAB9D4}">
            <xm:f>NOT(ISERROR(SEARCH($C$10,C38)))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76" operator="containsText" id="{2CA1648E-EA88-4330-8097-484458ABB3A7}">
            <xm:f>NOT(ISERROR(SEARCH($C$5,C38)))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77" operator="containsText" id="{BDDED456-B026-4079-A5B9-A0B324ED1DB0}">
            <xm:f>NOT(ISERROR(SEARCH($C$4,C38)))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8" operator="containsText" id="{8966F646-A079-4EDB-887C-85BBB48FFFC6}">
            <xm:f>NOT(ISERROR(SEARCH($C$3,C38)))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71" operator="containsText" id="{B9E86F7A-3A34-4911-8DC3-D86F255D4F79}">
            <xm:f>NOT(ISERROR(SEARCH($C$10,C43)))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72" operator="containsText" id="{B87C9B99-359B-4772-A01D-9DE211192D4E}">
            <xm:f>NOT(ISERROR(SEARCH($C$5,C43)))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73" operator="containsText" id="{D884DF02-6030-4889-B5AB-69D8969C1630}">
            <xm:f>NOT(ISERROR(SEARCH($C$4,C43)))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4" operator="containsText" id="{6A5C4D12-85A5-4427-9828-95D7A673993E}">
            <xm:f>NOT(ISERROR(SEARCH($C$3,C43)))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containsText" priority="67" operator="containsText" id="{0545EAF7-0313-4E83-9232-6FF5DDD9E15D}">
            <xm:f>NOT(ISERROR(SEARCH($C$10,C45)))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8" operator="containsText" id="{35855B29-F8DB-46A3-9D78-5E10A665B9D5}">
            <xm:f>NOT(ISERROR(SEARCH($C$5,C45)))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9" operator="containsText" id="{6665A09F-A6E2-4676-BC10-60F4C9F33E9E}">
            <xm:f>NOT(ISERROR(SEARCH($C$4,C45)))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0" operator="containsText" id="{820F3CA0-AF03-4C8D-96B8-5C3314B7492B}">
            <xm:f>NOT(ISERROR(SEARCH($C$3,C45)))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containsText" priority="63" operator="containsText" id="{44010CF3-46AD-44EA-9C62-32C2DC2C2F1F}">
            <xm:f>NOT(ISERROR(SEARCH($C$10,C46)))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4" operator="containsText" id="{EABF7DF9-20CC-46AF-BDCD-F9C64F1B9C5D}">
            <xm:f>NOT(ISERROR(SEARCH($C$5,C46)))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5" operator="containsText" id="{D9A9CA52-33FA-4E15-9B2D-0820EBCF101E}">
            <xm:f>NOT(ISERROR(SEARCH($C$4,C46)))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66" operator="containsText" id="{A0DCCB4E-FF32-4F2B-814F-A2DC981D00E1}">
            <xm:f>NOT(ISERROR(SEARCH($C$3,C46)))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C46</xm:sqref>
        </x14:conditionalFormatting>
        <x14:conditionalFormatting xmlns:xm="http://schemas.microsoft.com/office/excel/2006/main">
          <x14:cfRule type="containsText" priority="59" operator="containsText" id="{98F540CD-3607-452E-95A2-708A69F322C3}">
            <xm:f>NOT(ISERROR(SEARCH($C$10,C48)))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0" operator="containsText" id="{251F2B03-047F-43F2-958C-CEE8AA46F2A8}">
            <xm:f>NOT(ISERROR(SEARCH($C$5,C48)))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1" operator="containsText" id="{63A3A3E7-8F7E-418A-A361-F315B88D783D}">
            <xm:f>NOT(ISERROR(SEARCH($C$4,C48)))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62" operator="containsText" id="{5D0355D5-FD48-4158-A7B2-D5A23D8C1E77}">
            <xm:f>NOT(ISERROR(SEARCH($C$3,C48)))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ontainsText" priority="55" operator="containsText" id="{8037798D-6E0B-4B66-96D1-3DB1E258F80B}">
            <xm:f>NOT(ISERROR(SEARCH($C$10,C49)))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56" operator="containsText" id="{32B71D7E-F385-4F26-9337-D4742A8E953F}">
            <xm:f>NOT(ISERROR(SEARCH($C$5,C49)))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57" operator="containsText" id="{18118B46-A69E-4CE1-957B-2577C8E082CF}">
            <xm:f>NOT(ISERROR(SEARCH($C$4,C49)))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8" operator="containsText" id="{1809FF3C-40DF-44DA-B95E-C69EC15D613A}">
            <xm:f>NOT(ISERROR(SEARCH($C$3,C49)))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C49</xm:sqref>
        </x14:conditionalFormatting>
        <x14:conditionalFormatting xmlns:xm="http://schemas.microsoft.com/office/excel/2006/main">
          <x14:cfRule type="containsText" priority="51" operator="containsText" id="{7F70D3C4-2573-494F-8571-BB0342979456}">
            <xm:f>NOT(ISERROR(SEARCH($C$10,C52)))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52" operator="containsText" id="{81502281-2FF5-44FA-B73B-2725CFDDB0D2}">
            <xm:f>NOT(ISERROR(SEARCH($C$5,C52)))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53" operator="containsText" id="{10E345F1-AF08-4F99-A34C-52D2926939BA}">
            <xm:f>NOT(ISERROR(SEARCH($C$4,C52)))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4" operator="containsText" id="{81BCCD9B-387D-46EA-A90C-6832319ACC0F}">
            <xm:f>NOT(ISERROR(SEARCH($C$3,C52)))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C52</xm:sqref>
        </x14:conditionalFormatting>
        <x14:conditionalFormatting xmlns:xm="http://schemas.microsoft.com/office/excel/2006/main">
          <x14:cfRule type="containsText" priority="47" operator="containsText" id="{9FBC3133-CA70-4D41-B09D-7A7107BAE627}">
            <xm:f>NOT(ISERROR(SEARCH($C$10,C54)))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8" operator="containsText" id="{0F7DFF36-CF9D-458A-90CB-46B0BB51A601}">
            <xm:f>NOT(ISERROR(SEARCH($C$5,C54)))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9" operator="containsText" id="{6A114465-7C10-48C2-8DAD-C9EA260E44DE}">
            <xm:f>NOT(ISERROR(SEARCH($C$4,C54)))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0" operator="containsText" id="{E116324E-57B8-427E-A91B-5F22B7F1BB13}">
            <xm:f>NOT(ISERROR(SEARCH($C$3,C54)))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C54</xm:sqref>
        </x14:conditionalFormatting>
        <x14:conditionalFormatting xmlns:xm="http://schemas.microsoft.com/office/excel/2006/main">
          <x14:cfRule type="containsText" priority="43" operator="containsText" id="{B1FB9981-7E65-4012-AA21-7C3FAF98C314}">
            <xm:f>NOT(ISERROR(SEARCH($C$10,C56)))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4" operator="containsText" id="{8FC8D83F-D44C-4D93-92A3-4FD54CA5FC58}">
            <xm:f>NOT(ISERROR(SEARCH($C$5,C56)))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5" operator="containsText" id="{B945B1F2-AF78-4CBB-BAD0-4F5CE2DCEDFF}">
            <xm:f>NOT(ISERROR(SEARCH($C$4,C56)))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46" operator="containsText" id="{93F38143-368B-4E69-A062-DDE67D80EF5D}">
            <xm:f>NOT(ISERROR(SEARCH($C$3,C56)))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ontainsText" priority="39" operator="containsText" id="{9C781651-63D9-4C3B-8C33-7D0E4CD8FD96}">
            <xm:f>NOT(ISERROR(SEARCH($C$10,C57)))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0" operator="containsText" id="{2A30A961-4348-4F41-B829-62D4C3B2A4C6}">
            <xm:f>NOT(ISERROR(SEARCH($C$5,C57)))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1" operator="containsText" id="{D7FE4932-FDF2-4636-841E-2014BEC3CB72}">
            <xm:f>NOT(ISERROR(SEARCH($C$4,C57)))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42" operator="containsText" id="{3A06FA5A-0E70-4D05-AFB9-5A7E8043CCF3}">
            <xm:f>NOT(ISERROR(SEARCH($C$3,C57)))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C57</xm:sqref>
        </x14:conditionalFormatting>
        <x14:conditionalFormatting xmlns:xm="http://schemas.microsoft.com/office/excel/2006/main">
          <x14:cfRule type="containsText" priority="35" operator="containsText" id="{BC50E08C-7B8A-493D-AFB4-8EB767712623}">
            <xm:f>NOT(ISERROR(SEARCH($C$10,C59)))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36" operator="containsText" id="{B056B09C-56D9-44C5-9D7D-D7C552D925CE}">
            <xm:f>NOT(ISERROR(SEARCH($C$5,C59)))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37" operator="containsText" id="{D4FC2B7A-FD65-4572-9039-EAF26E362743}">
            <xm:f>NOT(ISERROR(SEARCH($C$4,C59)))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8" operator="containsText" id="{E42C6735-D3D7-46F4-BC7F-2E075D0B8F23}">
            <xm:f>NOT(ISERROR(SEARCH($C$3,C59)))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C59</xm:sqref>
        </x14:conditionalFormatting>
        <x14:conditionalFormatting xmlns:xm="http://schemas.microsoft.com/office/excel/2006/main">
          <x14:cfRule type="containsText" priority="31" operator="containsText" id="{D045B152-68CB-4C02-8F03-ED5EC82C3B5B}">
            <xm:f>NOT(ISERROR(SEARCH($C$10,C60)))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32" operator="containsText" id="{D2E3AD3E-DAFD-409C-BDA0-EBF3ACE47D1E}">
            <xm:f>NOT(ISERROR(SEARCH($C$5,C60)))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33" operator="containsText" id="{68BE7211-BB7D-45B6-8814-DB6D9F7315AE}">
            <xm:f>NOT(ISERROR(SEARCH($C$4,C60)))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4" operator="containsText" id="{177DAB4B-0CC1-4D7D-AEDD-DB74669D3B69}">
            <xm:f>NOT(ISERROR(SEARCH($C$3,C60)))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containsText" priority="27" operator="containsText" id="{7E41EEB7-ACCC-44DC-9B2D-2AB78475CA8C}">
            <xm:f>NOT(ISERROR(SEARCH($C$10,C70)))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28" operator="containsText" id="{C946D3CE-FCC3-4B89-B073-5195B7670E2F}">
            <xm:f>NOT(ISERROR(SEARCH($C$5,C70)))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29" operator="containsText" id="{2DB67110-C58B-48E3-B2FD-08F17682DF1B}">
            <xm:f>NOT(ISERROR(SEARCH($C$4,C70)))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0" operator="containsText" id="{19FF8DF8-3496-497D-8E0B-FEE3EE00B845}">
            <xm:f>NOT(ISERROR(SEARCH($C$3,C70)))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containsText" priority="22" operator="containsText" id="{305C3543-E391-4EC5-8276-9F2E13CBDA80}">
            <xm:f>NOT(ISERROR(SEARCH($C$10,Q6)))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23" operator="containsText" id="{C2DD87B6-265A-444B-9492-0DE0576B25EC}">
            <xm:f>NOT(ISERROR(SEARCH($C$5,Q6)))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24" operator="containsText" id="{0CBBF3F5-3B70-408C-8E7E-0ED2FEFBE2F8}">
            <xm:f>NOT(ISERROR(SEARCH($C$4,Q6)))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5" operator="containsText" id="{FA3139EE-2E0F-47B8-8E80-EDAAA4B43C2C}">
            <xm:f>NOT(ISERROR(SEARCH($C$3,Q6)))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B90F4-7F10-4CDB-9488-EAA7AF55D57C}">
  <sheetPr codeName="Sheet3"/>
  <dimension ref="A1:J577"/>
  <sheetViews>
    <sheetView workbookViewId="0"/>
  </sheetViews>
  <sheetFormatPr defaultRowHeight="14.25" x14ac:dyDescent="0.45"/>
  <cols>
    <col min="1" max="1" width="10.19921875" bestFit="1" customWidth="1"/>
    <col min="2" max="2" width="8.9296875" bestFit="1" customWidth="1"/>
    <col min="3" max="4" width="8.33203125" bestFit="1" customWidth="1"/>
    <col min="5" max="5" width="7.59765625" bestFit="1" customWidth="1"/>
    <col min="6" max="6" width="7.73046875" bestFit="1" customWidth="1"/>
    <col min="7" max="7" width="8.1328125" bestFit="1" customWidth="1"/>
    <col min="8" max="8" width="8.06640625" bestFit="1" customWidth="1"/>
    <col min="9" max="9" width="8.3984375" bestFit="1" customWidth="1"/>
    <col min="10" max="10" width="8.19921875" bestFit="1" customWidth="1"/>
  </cols>
  <sheetData>
    <row r="1" spans="1:10" x14ac:dyDescent="0.4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0" x14ac:dyDescent="0.45">
      <c r="A2" s="1">
        <v>44859</v>
      </c>
      <c r="B2">
        <v>142.1</v>
      </c>
      <c r="C2">
        <v>121.56</v>
      </c>
      <c r="D2">
        <v>13.37</v>
      </c>
      <c r="E2">
        <v>13.66</v>
      </c>
      <c r="F2">
        <v>18.14</v>
      </c>
      <c r="G2">
        <v>98.59</v>
      </c>
      <c r="H2">
        <v>19.350000000000001</v>
      </c>
      <c r="I2">
        <v>22.21</v>
      </c>
      <c r="J2">
        <v>34</v>
      </c>
    </row>
    <row r="3" spans="1:10" x14ac:dyDescent="0.45">
      <c r="A3" s="1">
        <v>44858</v>
      </c>
      <c r="B3">
        <v>138.97999999999999</v>
      </c>
      <c r="C3">
        <v>118.31</v>
      </c>
      <c r="D3">
        <v>13.11</v>
      </c>
      <c r="E3">
        <v>13.43</v>
      </c>
      <c r="F3">
        <v>17.88</v>
      </c>
      <c r="G3">
        <v>96.56</v>
      </c>
      <c r="H3">
        <v>19.02</v>
      </c>
      <c r="I3">
        <v>21.93</v>
      </c>
      <c r="J3">
        <v>33.56</v>
      </c>
    </row>
    <row r="4" spans="1:10" x14ac:dyDescent="0.45">
      <c r="A4" s="1">
        <v>44855</v>
      </c>
      <c r="B4">
        <v>137.80000000000001</v>
      </c>
      <c r="C4">
        <v>117.74</v>
      </c>
      <c r="D4">
        <v>12.99</v>
      </c>
      <c r="E4">
        <v>13.28</v>
      </c>
      <c r="F4">
        <v>17.670000000000002</v>
      </c>
      <c r="G4">
        <v>95.78</v>
      </c>
      <c r="H4">
        <v>19.21</v>
      </c>
      <c r="I4">
        <v>21.81</v>
      </c>
      <c r="J4">
        <v>33.200000000000003</v>
      </c>
    </row>
    <row r="5" spans="1:10" x14ac:dyDescent="0.45">
      <c r="A5" s="1">
        <v>44854</v>
      </c>
      <c r="B5">
        <v>134.69</v>
      </c>
      <c r="C5">
        <v>115.24</v>
      </c>
      <c r="D5">
        <v>12.73</v>
      </c>
      <c r="E5">
        <v>12.98</v>
      </c>
      <c r="F5">
        <v>17.28</v>
      </c>
      <c r="G5">
        <v>93.97</v>
      </c>
      <c r="H5">
        <v>18.72</v>
      </c>
      <c r="I5">
        <v>21.33</v>
      </c>
      <c r="J5">
        <v>32.479999999999997</v>
      </c>
    </row>
    <row r="6" spans="1:10" x14ac:dyDescent="0.45">
      <c r="A6" s="1">
        <v>44853</v>
      </c>
      <c r="B6">
        <v>135.52000000000001</v>
      </c>
      <c r="C6">
        <v>115.74</v>
      </c>
      <c r="D6">
        <v>12.75</v>
      </c>
      <c r="E6">
        <v>13.07</v>
      </c>
      <c r="F6">
        <v>17.41</v>
      </c>
      <c r="G6">
        <v>96.27</v>
      </c>
      <c r="H6">
        <v>18.64</v>
      </c>
      <c r="I6">
        <v>21.41</v>
      </c>
      <c r="J6">
        <v>32.68</v>
      </c>
    </row>
    <row r="7" spans="1:10" x14ac:dyDescent="0.45">
      <c r="A7" s="1">
        <v>44852</v>
      </c>
      <c r="B7">
        <v>136.68</v>
      </c>
      <c r="C7">
        <v>116.43</v>
      </c>
      <c r="D7">
        <v>12.82</v>
      </c>
      <c r="E7">
        <v>13.16</v>
      </c>
      <c r="F7">
        <v>17.52</v>
      </c>
      <c r="G7">
        <v>97.57</v>
      </c>
      <c r="H7">
        <v>18.52</v>
      </c>
      <c r="I7">
        <v>21.95</v>
      </c>
      <c r="J7">
        <v>32.94</v>
      </c>
    </row>
    <row r="8" spans="1:10" x14ac:dyDescent="0.45">
      <c r="A8" s="1">
        <v>44851</v>
      </c>
      <c r="B8">
        <v>135.44999999999999</v>
      </c>
      <c r="C8">
        <v>115.2</v>
      </c>
      <c r="D8">
        <v>12.74</v>
      </c>
      <c r="E8">
        <v>13.01</v>
      </c>
      <c r="F8">
        <v>17.329999999999998</v>
      </c>
      <c r="G8">
        <v>96.15</v>
      </c>
      <c r="H8">
        <v>18.36</v>
      </c>
      <c r="I8">
        <v>21.9</v>
      </c>
      <c r="J8">
        <v>32.58</v>
      </c>
    </row>
    <row r="9" spans="1:10" x14ac:dyDescent="0.45">
      <c r="A9" s="1">
        <v>44848</v>
      </c>
      <c r="B9">
        <v>130.96</v>
      </c>
      <c r="C9">
        <v>111.06</v>
      </c>
      <c r="D9">
        <v>12.35</v>
      </c>
      <c r="E9">
        <v>12.67</v>
      </c>
      <c r="F9">
        <v>16.89</v>
      </c>
      <c r="G9">
        <v>93.98</v>
      </c>
      <c r="H9">
        <v>17.989999999999998</v>
      </c>
      <c r="I9">
        <v>21.55</v>
      </c>
      <c r="J9">
        <v>31.92</v>
      </c>
    </row>
    <row r="10" spans="1:10" x14ac:dyDescent="0.45">
      <c r="A10" s="1">
        <v>44847</v>
      </c>
      <c r="B10">
        <v>135.11000000000001</v>
      </c>
      <c r="C10">
        <v>115.09</v>
      </c>
      <c r="D10">
        <v>12.72</v>
      </c>
      <c r="E10">
        <v>12.98</v>
      </c>
      <c r="F10">
        <v>17.27</v>
      </c>
      <c r="G10">
        <v>95.74</v>
      </c>
      <c r="H10">
        <v>18.87</v>
      </c>
      <c r="I10">
        <v>21.69</v>
      </c>
      <c r="J10">
        <v>32.46</v>
      </c>
    </row>
    <row r="11" spans="1:10" x14ac:dyDescent="0.45">
      <c r="A11" s="1">
        <v>44846</v>
      </c>
      <c r="B11">
        <v>132.16</v>
      </c>
      <c r="C11">
        <v>113</v>
      </c>
      <c r="D11">
        <v>12.44</v>
      </c>
      <c r="E11">
        <v>12.66</v>
      </c>
      <c r="F11">
        <v>16.829999999999998</v>
      </c>
      <c r="G11">
        <v>93.51</v>
      </c>
      <c r="H11">
        <v>18.309999999999999</v>
      </c>
      <c r="I11">
        <v>21.34</v>
      </c>
      <c r="J11">
        <v>31.57</v>
      </c>
    </row>
    <row r="12" spans="1:10" x14ac:dyDescent="0.45">
      <c r="A12" s="1">
        <v>44845</v>
      </c>
      <c r="B12">
        <v>132.27000000000001</v>
      </c>
      <c r="C12">
        <v>112.79</v>
      </c>
      <c r="D12">
        <v>12.45</v>
      </c>
      <c r="E12">
        <v>12.69</v>
      </c>
      <c r="F12">
        <v>16.89</v>
      </c>
      <c r="G12">
        <v>96.59</v>
      </c>
      <c r="H12">
        <v>18.28</v>
      </c>
      <c r="I12">
        <v>21.41</v>
      </c>
      <c r="J12">
        <v>31.79</v>
      </c>
    </row>
    <row r="13" spans="1:10" x14ac:dyDescent="0.45">
      <c r="A13" s="1">
        <v>44844</v>
      </c>
      <c r="B13">
        <v>133.74</v>
      </c>
      <c r="C13">
        <v>114.44</v>
      </c>
      <c r="D13">
        <v>12.6</v>
      </c>
      <c r="E13">
        <v>12.79</v>
      </c>
      <c r="F13">
        <v>16.98</v>
      </c>
      <c r="G13">
        <v>97.01</v>
      </c>
      <c r="H13">
        <v>18.510000000000002</v>
      </c>
      <c r="I13">
        <v>21.22</v>
      </c>
      <c r="J13">
        <v>31.88</v>
      </c>
    </row>
    <row r="14" spans="1:10" x14ac:dyDescent="0.45">
      <c r="A14" s="1">
        <v>44841</v>
      </c>
      <c r="B14">
        <v>135.13999999999999</v>
      </c>
      <c r="C14">
        <v>115.96</v>
      </c>
      <c r="D14">
        <v>12.74</v>
      </c>
      <c r="E14">
        <v>12.89</v>
      </c>
      <c r="F14">
        <v>17.079999999999998</v>
      </c>
      <c r="G14">
        <v>97.03</v>
      </c>
      <c r="H14">
        <v>18.559999999999999</v>
      </c>
      <c r="I14">
        <v>21.46</v>
      </c>
      <c r="J14">
        <v>32.049999999999997</v>
      </c>
    </row>
    <row r="15" spans="1:10" x14ac:dyDescent="0.45">
      <c r="A15" s="1">
        <v>44840</v>
      </c>
      <c r="B15">
        <v>140.46</v>
      </c>
      <c r="C15">
        <v>120.86</v>
      </c>
      <c r="D15">
        <v>13.2</v>
      </c>
      <c r="E15">
        <v>13.27</v>
      </c>
      <c r="F15">
        <v>17.54</v>
      </c>
      <c r="G15">
        <v>99.54</v>
      </c>
      <c r="H15">
        <v>18.78</v>
      </c>
      <c r="I15">
        <v>21.78</v>
      </c>
      <c r="J15">
        <v>32.630000000000003</v>
      </c>
    </row>
    <row r="16" spans="1:10" x14ac:dyDescent="0.45">
      <c r="A16" s="1">
        <v>44839</v>
      </c>
      <c r="B16">
        <v>141.41999999999999</v>
      </c>
      <c r="C16">
        <v>121.24</v>
      </c>
      <c r="D16">
        <v>13.28</v>
      </c>
      <c r="E16">
        <v>13.4</v>
      </c>
      <c r="F16">
        <v>17.7</v>
      </c>
      <c r="G16">
        <v>102.64</v>
      </c>
      <c r="H16">
        <v>18.75</v>
      </c>
      <c r="I16">
        <v>22.03</v>
      </c>
      <c r="J16">
        <v>33.020000000000003</v>
      </c>
    </row>
    <row r="17" spans="1:10" x14ac:dyDescent="0.45">
      <c r="A17" s="1">
        <v>44838</v>
      </c>
      <c r="B17">
        <v>141.76</v>
      </c>
      <c r="C17">
        <v>121.14</v>
      </c>
      <c r="D17">
        <v>13.25</v>
      </c>
      <c r="E17">
        <v>13.43</v>
      </c>
      <c r="F17">
        <v>17.739999999999998</v>
      </c>
      <c r="G17">
        <v>104.59</v>
      </c>
      <c r="H17">
        <v>18.78</v>
      </c>
      <c r="I17">
        <v>22.11</v>
      </c>
      <c r="J17">
        <v>33.11</v>
      </c>
    </row>
    <row r="18" spans="1:10" x14ac:dyDescent="0.45">
      <c r="A18" s="1">
        <v>44837</v>
      </c>
      <c r="B18">
        <v>137.18</v>
      </c>
      <c r="C18">
        <v>116.58</v>
      </c>
      <c r="D18">
        <v>12.78</v>
      </c>
      <c r="E18">
        <v>13.02</v>
      </c>
      <c r="F18">
        <v>17.239999999999998</v>
      </c>
      <c r="G18">
        <v>101.88</v>
      </c>
      <c r="H18">
        <v>18.05</v>
      </c>
      <c r="I18">
        <v>21.64</v>
      </c>
      <c r="J18">
        <v>32.18</v>
      </c>
    </row>
    <row r="19" spans="1:10" x14ac:dyDescent="0.45">
      <c r="A19" s="1">
        <v>44834</v>
      </c>
      <c r="B19">
        <v>134.13999999999999</v>
      </c>
      <c r="C19">
        <v>114.13</v>
      </c>
      <c r="D19">
        <v>12.46</v>
      </c>
      <c r="E19">
        <v>12.69</v>
      </c>
      <c r="F19">
        <v>16.809999999999999</v>
      </c>
      <c r="G19">
        <v>98.8</v>
      </c>
      <c r="H19">
        <v>17.25</v>
      </c>
      <c r="I19">
        <v>21.51</v>
      </c>
      <c r="J19">
        <v>31.32</v>
      </c>
    </row>
    <row r="20" spans="1:10" x14ac:dyDescent="0.45">
      <c r="A20" s="1">
        <v>44833</v>
      </c>
      <c r="B20">
        <v>136.19</v>
      </c>
      <c r="C20">
        <v>115.99</v>
      </c>
      <c r="D20">
        <v>12.64</v>
      </c>
      <c r="E20">
        <v>12.88</v>
      </c>
      <c r="F20">
        <v>17.059999999999999</v>
      </c>
      <c r="G20">
        <v>100.32</v>
      </c>
      <c r="H20">
        <v>17.28</v>
      </c>
      <c r="I20">
        <v>21.59</v>
      </c>
      <c r="J20">
        <v>31.66</v>
      </c>
    </row>
    <row r="21" spans="1:10" x14ac:dyDescent="0.45">
      <c r="A21" s="1">
        <v>44832</v>
      </c>
      <c r="B21">
        <v>140.15</v>
      </c>
      <c r="C21">
        <v>119.56</v>
      </c>
      <c r="D21">
        <v>12.95</v>
      </c>
      <c r="E21">
        <v>13.16</v>
      </c>
      <c r="F21">
        <v>17.399999999999999</v>
      </c>
      <c r="G21">
        <v>104.28</v>
      </c>
      <c r="H21">
        <v>17.46</v>
      </c>
      <c r="I21">
        <v>21.8</v>
      </c>
      <c r="J21">
        <v>32.159999999999997</v>
      </c>
    </row>
    <row r="22" spans="1:10" x14ac:dyDescent="0.45">
      <c r="A22" s="1">
        <v>44831</v>
      </c>
      <c r="B22">
        <v>137.34</v>
      </c>
      <c r="C22">
        <v>116.87</v>
      </c>
      <c r="D22">
        <v>12.69</v>
      </c>
      <c r="E22">
        <v>12.9</v>
      </c>
      <c r="F22">
        <v>17.05</v>
      </c>
      <c r="G22">
        <v>103.12</v>
      </c>
      <c r="H22">
        <v>16.87</v>
      </c>
      <c r="I22">
        <v>20.96</v>
      </c>
      <c r="J22">
        <v>31.55</v>
      </c>
    </row>
    <row r="23" spans="1:10" x14ac:dyDescent="0.45">
      <c r="A23" s="1">
        <v>44830</v>
      </c>
      <c r="B23">
        <v>137</v>
      </c>
      <c r="C23">
        <v>116.11</v>
      </c>
      <c r="D23">
        <v>12.67</v>
      </c>
      <c r="E23">
        <v>12.92</v>
      </c>
      <c r="F23">
        <v>17.09</v>
      </c>
      <c r="G23">
        <v>104.71</v>
      </c>
      <c r="H23">
        <v>16.649999999999999</v>
      </c>
      <c r="I23">
        <v>20.77</v>
      </c>
      <c r="J23">
        <v>31.61</v>
      </c>
    </row>
    <row r="24" spans="1:10" x14ac:dyDescent="0.45">
      <c r="A24" s="1">
        <v>44827</v>
      </c>
      <c r="B24">
        <v>137.82</v>
      </c>
      <c r="C24">
        <v>117.07</v>
      </c>
      <c r="D24">
        <v>12.75</v>
      </c>
      <c r="E24">
        <v>13.06</v>
      </c>
      <c r="F24">
        <v>17.27</v>
      </c>
      <c r="G24">
        <v>107.11</v>
      </c>
      <c r="H24">
        <v>17.03</v>
      </c>
      <c r="I24">
        <v>21.08</v>
      </c>
      <c r="J24">
        <v>32.08</v>
      </c>
    </row>
    <row r="25" spans="1:10" x14ac:dyDescent="0.45">
      <c r="A25" s="1">
        <v>44826</v>
      </c>
      <c r="B25">
        <v>140.34</v>
      </c>
      <c r="C25">
        <v>119.53</v>
      </c>
      <c r="D25">
        <v>12.97</v>
      </c>
      <c r="E25">
        <v>13.29</v>
      </c>
      <c r="F25">
        <v>17.579999999999998</v>
      </c>
      <c r="G25">
        <v>108.58</v>
      </c>
      <c r="H25">
        <v>18.09</v>
      </c>
      <c r="I25">
        <v>21.38</v>
      </c>
      <c r="J25">
        <v>32.67</v>
      </c>
    </row>
    <row r="26" spans="1:10" x14ac:dyDescent="0.45">
      <c r="A26" s="1">
        <v>44825</v>
      </c>
      <c r="B26">
        <v>142.27000000000001</v>
      </c>
      <c r="C26">
        <v>121.87</v>
      </c>
      <c r="D26">
        <v>13.11</v>
      </c>
      <c r="E26">
        <v>13.41</v>
      </c>
      <c r="F26">
        <v>17.7</v>
      </c>
      <c r="G26">
        <v>109.19</v>
      </c>
      <c r="H26">
        <v>18.21</v>
      </c>
      <c r="I26">
        <v>21.27</v>
      </c>
      <c r="J26">
        <v>32.85</v>
      </c>
    </row>
    <row r="27" spans="1:10" x14ac:dyDescent="0.45">
      <c r="A27" s="1">
        <v>44824</v>
      </c>
      <c r="B27">
        <v>144.86000000000001</v>
      </c>
      <c r="C27">
        <v>124.22</v>
      </c>
      <c r="D27">
        <v>13.34</v>
      </c>
      <c r="E27">
        <v>13.64</v>
      </c>
      <c r="F27">
        <v>18</v>
      </c>
      <c r="G27">
        <v>110.73</v>
      </c>
      <c r="H27">
        <v>18.55</v>
      </c>
      <c r="I27">
        <v>21.72</v>
      </c>
      <c r="J27">
        <v>33.409999999999997</v>
      </c>
    </row>
    <row r="28" spans="1:10" x14ac:dyDescent="0.45">
      <c r="A28" s="1">
        <v>44823</v>
      </c>
      <c r="B28">
        <v>146.22999999999999</v>
      </c>
      <c r="C28">
        <v>125.45</v>
      </c>
      <c r="D28">
        <v>13.46</v>
      </c>
      <c r="E28">
        <v>13.8</v>
      </c>
      <c r="F28">
        <v>18.2</v>
      </c>
      <c r="G28">
        <v>112.34</v>
      </c>
      <c r="H28">
        <v>18.75</v>
      </c>
      <c r="I28">
        <v>21.95</v>
      </c>
      <c r="J28">
        <v>33.82</v>
      </c>
    </row>
    <row r="29" spans="1:10" x14ac:dyDescent="0.45">
      <c r="A29" s="1">
        <v>44820</v>
      </c>
      <c r="B29">
        <v>145.13999999999999</v>
      </c>
      <c r="C29">
        <v>124.27</v>
      </c>
      <c r="D29">
        <v>13.37</v>
      </c>
      <c r="E29">
        <v>13.71</v>
      </c>
      <c r="F29">
        <v>18.079999999999998</v>
      </c>
      <c r="G29">
        <v>110.64</v>
      </c>
      <c r="H29">
        <v>18.47</v>
      </c>
      <c r="I29">
        <v>22.12</v>
      </c>
      <c r="J29">
        <v>33.56</v>
      </c>
    </row>
    <row r="30" spans="1:10" x14ac:dyDescent="0.45">
      <c r="A30" s="1">
        <v>44819</v>
      </c>
      <c r="B30">
        <v>146.44999999999999</v>
      </c>
      <c r="C30">
        <v>125.72</v>
      </c>
      <c r="D30">
        <v>13.46</v>
      </c>
      <c r="E30">
        <v>13.81</v>
      </c>
      <c r="F30">
        <v>18.22</v>
      </c>
      <c r="G30">
        <v>111.13</v>
      </c>
      <c r="H30">
        <v>18.739999999999998</v>
      </c>
      <c r="I30">
        <v>22.29</v>
      </c>
      <c r="J30">
        <v>33.76</v>
      </c>
    </row>
    <row r="31" spans="1:10" x14ac:dyDescent="0.45">
      <c r="A31" s="1">
        <v>44818</v>
      </c>
      <c r="B31">
        <v>148.57</v>
      </c>
      <c r="C31">
        <v>127.27</v>
      </c>
      <c r="D31">
        <v>13.65</v>
      </c>
      <c r="E31">
        <v>13.97</v>
      </c>
      <c r="F31">
        <v>18.43</v>
      </c>
      <c r="G31">
        <v>113.57</v>
      </c>
      <c r="H31">
        <v>19.170000000000002</v>
      </c>
      <c r="I31">
        <v>22.24</v>
      </c>
      <c r="J31">
        <v>33.85</v>
      </c>
    </row>
    <row r="32" spans="1:10" x14ac:dyDescent="0.45">
      <c r="A32" s="1">
        <v>44817</v>
      </c>
      <c r="B32">
        <v>147.46</v>
      </c>
      <c r="C32">
        <v>125.94</v>
      </c>
      <c r="D32">
        <v>13.56</v>
      </c>
      <c r="E32">
        <v>13.91</v>
      </c>
      <c r="F32">
        <v>18.350000000000001</v>
      </c>
      <c r="G32">
        <v>112.54</v>
      </c>
      <c r="H32">
        <v>18.96</v>
      </c>
      <c r="I32">
        <v>22.2</v>
      </c>
      <c r="J32">
        <v>33.85</v>
      </c>
    </row>
    <row r="33" spans="1:10" x14ac:dyDescent="0.45">
      <c r="A33" s="1">
        <v>44816</v>
      </c>
      <c r="B33">
        <v>155.47</v>
      </c>
      <c r="C33">
        <v>133.05000000000001</v>
      </c>
      <c r="D33">
        <v>14.26</v>
      </c>
      <c r="E33">
        <v>14.54</v>
      </c>
      <c r="F33">
        <v>19.18</v>
      </c>
      <c r="G33">
        <v>115.36</v>
      </c>
      <c r="H33">
        <v>19.38</v>
      </c>
      <c r="I33">
        <v>22.89</v>
      </c>
      <c r="J33">
        <v>34.99</v>
      </c>
    </row>
    <row r="34" spans="1:10" x14ac:dyDescent="0.45">
      <c r="A34" s="1">
        <v>44813</v>
      </c>
      <c r="B34">
        <v>153.51</v>
      </c>
      <c r="C34">
        <v>131.13999999999999</v>
      </c>
      <c r="D34">
        <v>14.11</v>
      </c>
      <c r="E34">
        <v>14.39</v>
      </c>
      <c r="F34">
        <v>18.989999999999998</v>
      </c>
      <c r="G34">
        <v>114.23</v>
      </c>
      <c r="H34">
        <v>19.36</v>
      </c>
      <c r="I34">
        <v>22.71</v>
      </c>
      <c r="J34">
        <v>34.67</v>
      </c>
    </row>
    <row r="35" spans="1:10" x14ac:dyDescent="0.45">
      <c r="A35" s="1">
        <v>44812</v>
      </c>
      <c r="B35">
        <v>150.35</v>
      </c>
      <c r="C35">
        <v>128.85</v>
      </c>
      <c r="D35">
        <v>14.36</v>
      </c>
      <c r="E35">
        <v>14.17</v>
      </c>
      <c r="F35">
        <v>18.690000000000001</v>
      </c>
      <c r="G35">
        <v>113.69</v>
      </c>
      <c r="H35">
        <v>18.829999999999998</v>
      </c>
      <c r="I35">
        <v>22.47</v>
      </c>
      <c r="J35">
        <v>35.799999999999997</v>
      </c>
    </row>
    <row r="36" spans="1:10" x14ac:dyDescent="0.45">
      <c r="A36" s="1">
        <v>44811</v>
      </c>
      <c r="B36">
        <v>149.44999999999999</v>
      </c>
      <c r="C36">
        <v>127.53</v>
      </c>
      <c r="D36">
        <v>14.25</v>
      </c>
      <c r="E36">
        <v>14.06</v>
      </c>
      <c r="F36">
        <v>18.579999999999998</v>
      </c>
      <c r="G36">
        <v>113.55</v>
      </c>
      <c r="H36">
        <v>18.59</v>
      </c>
      <c r="I36">
        <v>22.23</v>
      </c>
      <c r="J36">
        <v>35.47</v>
      </c>
    </row>
    <row r="37" spans="1:10" x14ac:dyDescent="0.45">
      <c r="A37" s="1">
        <v>44810</v>
      </c>
      <c r="B37">
        <v>146.32</v>
      </c>
      <c r="C37">
        <v>124.75</v>
      </c>
      <c r="D37">
        <v>13.95</v>
      </c>
      <c r="E37">
        <v>13.81</v>
      </c>
      <c r="F37">
        <v>18.27</v>
      </c>
      <c r="G37">
        <v>110.37</v>
      </c>
      <c r="H37">
        <v>18.62</v>
      </c>
      <c r="I37">
        <v>21.87</v>
      </c>
      <c r="J37">
        <v>34.89</v>
      </c>
    </row>
    <row r="38" spans="1:10" x14ac:dyDescent="0.45">
      <c r="A38" s="1">
        <v>44806</v>
      </c>
      <c r="B38">
        <v>147.4</v>
      </c>
      <c r="C38">
        <v>125.75</v>
      </c>
      <c r="D38">
        <v>14.07</v>
      </c>
      <c r="E38">
        <v>13.87</v>
      </c>
      <c r="F38">
        <v>18.350000000000001</v>
      </c>
      <c r="G38">
        <v>110.3</v>
      </c>
      <c r="H38">
        <v>18.829999999999998</v>
      </c>
      <c r="I38">
        <v>21.98</v>
      </c>
      <c r="J38">
        <v>35.07</v>
      </c>
    </row>
    <row r="39" spans="1:10" x14ac:dyDescent="0.45">
      <c r="A39" s="1">
        <v>44805</v>
      </c>
      <c r="B39">
        <v>149.35</v>
      </c>
      <c r="C39">
        <v>126.85</v>
      </c>
      <c r="D39">
        <v>14.23</v>
      </c>
      <c r="E39">
        <v>14.01</v>
      </c>
      <c r="F39">
        <v>18.54</v>
      </c>
      <c r="G39">
        <v>111.24</v>
      </c>
      <c r="H39">
        <v>18.579999999999998</v>
      </c>
      <c r="I39">
        <v>22.2</v>
      </c>
      <c r="J39">
        <v>35.369999999999997</v>
      </c>
    </row>
    <row r="40" spans="1:10" x14ac:dyDescent="0.45">
      <c r="A40" s="1">
        <v>44804</v>
      </c>
      <c r="B40">
        <v>149.57</v>
      </c>
      <c r="C40">
        <v>127.6</v>
      </c>
      <c r="D40">
        <v>14.22</v>
      </c>
      <c r="E40">
        <v>13.98</v>
      </c>
      <c r="F40">
        <v>18.48</v>
      </c>
      <c r="G40">
        <v>109.82</v>
      </c>
      <c r="H40">
        <v>18.98</v>
      </c>
      <c r="I40">
        <v>22.05</v>
      </c>
      <c r="J40">
        <v>35.229999999999997</v>
      </c>
    </row>
    <row r="41" spans="1:10" x14ac:dyDescent="0.45">
      <c r="A41" s="1">
        <v>44803</v>
      </c>
      <c r="B41">
        <v>150.38999999999999</v>
      </c>
      <c r="C41">
        <v>128.57</v>
      </c>
      <c r="D41">
        <v>14.28</v>
      </c>
      <c r="E41">
        <v>14.09</v>
      </c>
      <c r="F41">
        <v>18.62</v>
      </c>
      <c r="G41">
        <v>110.23</v>
      </c>
      <c r="H41">
        <v>19.190000000000001</v>
      </c>
      <c r="I41">
        <v>22.12</v>
      </c>
      <c r="J41">
        <v>35.450000000000003</v>
      </c>
    </row>
    <row r="42" spans="1:10" x14ac:dyDescent="0.45">
      <c r="A42" s="1">
        <v>44802</v>
      </c>
      <c r="B42">
        <v>152.09</v>
      </c>
      <c r="C42">
        <v>130.18</v>
      </c>
      <c r="D42">
        <v>14.43</v>
      </c>
      <c r="E42">
        <v>14.24</v>
      </c>
      <c r="F42">
        <v>18.829999999999998</v>
      </c>
      <c r="G42">
        <v>111.84</v>
      </c>
      <c r="H42">
        <v>19.88</v>
      </c>
      <c r="I42">
        <v>22.34</v>
      </c>
      <c r="J42">
        <v>35.78</v>
      </c>
    </row>
    <row r="43" spans="1:10" x14ac:dyDescent="0.45">
      <c r="A43" s="1">
        <v>44799</v>
      </c>
      <c r="B43">
        <v>153.65</v>
      </c>
      <c r="C43">
        <v>131.53</v>
      </c>
      <c r="D43">
        <v>14.56</v>
      </c>
      <c r="E43">
        <v>14.34</v>
      </c>
      <c r="F43">
        <v>18.95</v>
      </c>
      <c r="G43">
        <v>111.57</v>
      </c>
      <c r="H43">
        <v>19.89</v>
      </c>
      <c r="I43">
        <v>22.61</v>
      </c>
      <c r="J43">
        <v>35.86</v>
      </c>
    </row>
    <row r="44" spans="1:10" x14ac:dyDescent="0.45">
      <c r="A44" s="1">
        <v>44798</v>
      </c>
      <c r="B44">
        <v>159.93</v>
      </c>
      <c r="C44">
        <v>137.41</v>
      </c>
      <c r="D44">
        <v>15.14</v>
      </c>
      <c r="E44">
        <v>14.85</v>
      </c>
      <c r="F44">
        <v>19.57</v>
      </c>
      <c r="G44">
        <v>113.29</v>
      </c>
      <c r="H44">
        <v>20.16</v>
      </c>
      <c r="I44">
        <v>23.14</v>
      </c>
      <c r="J44">
        <v>36.78</v>
      </c>
    </row>
    <row r="45" spans="1:10" x14ac:dyDescent="0.45">
      <c r="A45" s="1">
        <v>44797</v>
      </c>
      <c r="B45">
        <v>157.31</v>
      </c>
      <c r="C45">
        <v>134.80000000000001</v>
      </c>
      <c r="D45">
        <v>14.88</v>
      </c>
      <c r="E45">
        <v>14.63</v>
      </c>
      <c r="F45">
        <v>19.32</v>
      </c>
      <c r="G45">
        <v>112.38</v>
      </c>
      <c r="H45">
        <v>19.8</v>
      </c>
      <c r="I45">
        <v>23.03</v>
      </c>
      <c r="J45">
        <v>36.43</v>
      </c>
    </row>
    <row r="46" spans="1:10" x14ac:dyDescent="0.45">
      <c r="A46" s="1">
        <v>44796</v>
      </c>
      <c r="B46">
        <v>156.66</v>
      </c>
      <c r="C46">
        <v>133.94</v>
      </c>
      <c r="D46">
        <v>14.81</v>
      </c>
      <c r="E46">
        <v>14.58</v>
      </c>
      <c r="F46">
        <v>19.28</v>
      </c>
      <c r="G46">
        <v>111.78</v>
      </c>
      <c r="H46">
        <v>19.64</v>
      </c>
      <c r="I46">
        <v>22.8</v>
      </c>
      <c r="J46">
        <v>36.299999999999997</v>
      </c>
    </row>
    <row r="47" spans="1:10" x14ac:dyDescent="0.45">
      <c r="A47" s="1">
        <v>44795</v>
      </c>
      <c r="B47">
        <v>156.65</v>
      </c>
      <c r="C47">
        <v>133.59</v>
      </c>
      <c r="D47">
        <v>14.84</v>
      </c>
      <c r="E47">
        <v>14.61</v>
      </c>
      <c r="F47">
        <v>19.32</v>
      </c>
      <c r="G47">
        <v>112.35</v>
      </c>
      <c r="H47">
        <v>19.100000000000001</v>
      </c>
      <c r="I47">
        <v>23.01</v>
      </c>
      <c r="J47">
        <v>36.42</v>
      </c>
    </row>
    <row r="48" spans="1:10" x14ac:dyDescent="0.45">
      <c r="A48" s="1">
        <v>44792</v>
      </c>
      <c r="B48">
        <v>160.74</v>
      </c>
      <c r="C48">
        <v>137.1</v>
      </c>
      <c r="D48">
        <v>15.19</v>
      </c>
      <c r="E48">
        <v>14.93</v>
      </c>
      <c r="F48">
        <v>19.71</v>
      </c>
      <c r="G48">
        <v>114</v>
      </c>
      <c r="H48">
        <v>19.100000000000001</v>
      </c>
      <c r="I48">
        <v>23.18</v>
      </c>
      <c r="J48">
        <v>37.04</v>
      </c>
    </row>
    <row r="49" spans="1:10" x14ac:dyDescent="0.45">
      <c r="A49" s="1">
        <v>44791</v>
      </c>
      <c r="B49">
        <v>164.03</v>
      </c>
      <c r="C49">
        <v>140.4</v>
      </c>
      <c r="D49">
        <v>15.48</v>
      </c>
      <c r="E49">
        <v>15.14</v>
      </c>
      <c r="F49">
        <v>19.940000000000001</v>
      </c>
      <c r="G49">
        <v>114.27</v>
      </c>
      <c r="H49">
        <v>19.32</v>
      </c>
      <c r="I49">
        <v>23.09</v>
      </c>
      <c r="J49">
        <v>37.299999999999997</v>
      </c>
    </row>
    <row r="50" spans="1:10" x14ac:dyDescent="0.45">
      <c r="A50" s="1">
        <v>44790</v>
      </c>
      <c r="B50">
        <v>163.68</v>
      </c>
      <c r="C50">
        <v>139.78</v>
      </c>
      <c r="D50">
        <v>15.45</v>
      </c>
      <c r="E50">
        <v>15.1</v>
      </c>
      <c r="F50">
        <v>19.89</v>
      </c>
      <c r="G50">
        <v>113.77</v>
      </c>
      <c r="H50">
        <v>19.100000000000001</v>
      </c>
      <c r="I50">
        <v>23.22</v>
      </c>
      <c r="J50">
        <v>37.22</v>
      </c>
    </row>
    <row r="51" spans="1:10" x14ac:dyDescent="0.45">
      <c r="A51" s="1">
        <v>44789</v>
      </c>
      <c r="B51">
        <v>165.71</v>
      </c>
      <c r="C51">
        <v>141.63</v>
      </c>
      <c r="D51">
        <v>15.59</v>
      </c>
      <c r="E51">
        <v>15.22</v>
      </c>
      <c r="F51">
        <v>20.03</v>
      </c>
      <c r="G51">
        <v>114.15</v>
      </c>
      <c r="H51">
        <v>19.190000000000001</v>
      </c>
      <c r="I51">
        <v>23.45</v>
      </c>
      <c r="J51">
        <v>37.49</v>
      </c>
    </row>
    <row r="52" spans="1:10" x14ac:dyDescent="0.45">
      <c r="A52" s="1">
        <v>44788</v>
      </c>
      <c r="B52">
        <v>166.02</v>
      </c>
      <c r="C52">
        <v>141.63</v>
      </c>
      <c r="D52">
        <v>15.62</v>
      </c>
      <c r="E52">
        <v>15.19</v>
      </c>
      <c r="F52">
        <v>19.98</v>
      </c>
      <c r="G52">
        <v>113.95</v>
      </c>
      <c r="H52">
        <v>19.059999999999999</v>
      </c>
      <c r="I52">
        <v>23.59</v>
      </c>
      <c r="J52">
        <v>37.369999999999997</v>
      </c>
    </row>
    <row r="53" spans="1:10" x14ac:dyDescent="0.45">
      <c r="A53" s="1">
        <v>44785</v>
      </c>
      <c r="B53">
        <v>165</v>
      </c>
      <c r="C53">
        <v>141.08000000000001</v>
      </c>
      <c r="D53">
        <v>15.55</v>
      </c>
      <c r="E53">
        <v>15.13</v>
      </c>
      <c r="F53">
        <v>19.899999999999999</v>
      </c>
      <c r="G53">
        <v>113.08</v>
      </c>
      <c r="H53">
        <v>19.43</v>
      </c>
      <c r="I53">
        <v>23.58</v>
      </c>
      <c r="J53">
        <v>37.26</v>
      </c>
    </row>
    <row r="54" spans="1:10" x14ac:dyDescent="0.45">
      <c r="A54" s="1">
        <v>44784</v>
      </c>
      <c r="B54">
        <v>161.62</v>
      </c>
      <c r="C54">
        <v>137.96</v>
      </c>
      <c r="D54">
        <v>15.27</v>
      </c>
      <c r="E54">
        <v>14.87</v>
      </c>
      <c r="F54">
        <v>19.579999999999998</v>
      </c>
      <c r="G54">
        <v>111.21</v>
      </c>
      <c r="H54">
        <v>19.12</v>
      </c>
      <c r="I54">
        <v>23.15</v>
      </c>
      <c r="J54">
        <v>36.68</v>
      </c>
    </row>
    <row r="55" spans="1:10" x14ac:dyDescent="0.45">
      <c r="A55" s="1">
        <v>44783</v>
      </c>
      <c r="B55">
        <v>162.55000000000001</v>
      </c>
      <c r="C55">
        <v>138.35</v>
      </c>
      <c r="D55">
        <v>15.32</v>
      </c>
      <c r="E55">
        <v>14.89</v>
      </c>
      <c r="F55">
        <v>19.59</v>
      </c>
      <c r="G55">
        <v>110.98</v>
      </c>
      <c r="H55">
        <v>18.87</v>
      </c>
      <c r="I55">
        <v>23.55</v>
      </c>
      <c r="J55">
        <v>36.6</v>
      </c>
    </row>
    <row r="56" spans="1:10" x14ac:dyDescent="0.45">
      <c r="A56" s="1">
        <v>44782</v>
      </c>
      <c r="B56">
        <v>157.97</v>
      </c>
      <c r="C56">
        <v>133.81</v>
      </c>
      <c r="D56">
        <v>14.9</v>
      </c>
      <c r="E56">
        <v>14.56</v>
      </c>
      <c r="F56">
        <v>19.22</v>
      </c>
      <c r="G56">
        <v>110.26</v>
      </c>
      <c r="H56">
        <v>18.559999999999999</v>
      </c>
      <c r="I56">
        <v>23.4</v>
      </c>
      <c r="J56">
        <v>36.1</v>
      </c>
    </row>
    <row r="57" spans="1:10" x14ac:dyDescent="0.45">
      <c r="A57" s="1">
        <v>44781</v>
      </c>
      <c r="B57">
        <v>159.86000000000001</v>
      </c>
      <c r="C57">
        <v>136.16999999999999</v>
      </c>
      <c r="D57">
        <v>15.06</v>
      </c>
      <c r="E57">
        <v>14.63</v>
      </c>
      <c r="F57">
        <v>19.28</v>
      </c>
      <c r="G57">
        <v>109.19</v>
      </c>
      <c r="H57">
        <v>18.309999999999999</v>
      </c>
      <c r="I57">
        <v>23.47</v>
      </c>
      <c r="J57">
        <v>36.07</v>
      </c>
    </row>
    <row r="58" spans="1:10" x14ac:dyDescent="0.45">
      <c r="A58" s="1">
        <v>44778</v>
      </c>
      <c r="B58">
        <v>160.03</v>
      </c>
      <c r="C58">
        <v>136.38999999999999</v>
      </c>
      <c r="D58">
        <v>15.1</v>
      </c>
      <c r="E58">
        <v>14.65</v>
      </c>
      <c r="F58">
        <v>19.29</v>
      </c>
      <c r="G58">
        <v>108.91</v>
      </c>
      <c r="H58">
        <v>18.149999999999999</v>
      </c>
      <c r="I58">
        <v>23.45</v>
      </c>
      <c r="J58">
        <v>36.020000000000003</v>
      </c>
    </row>
    <row r="59" spans="1:10" x14ac:dyDescent="0.45">
      <c r="A59" s="1">
        <v>44777</v>
      </c>
      <c r="B59">
        <v>160.82</v>
      </c>
      <c r="C59">
        <v>136.82</v>
      </c>
      <c r="D59">
        <v>15.15</v>
      </c>
      <c r="E59">
        <v>14.66</v>
      </c>
      <c r="F59">
        <v>19.32</v>
      </c>
      <c r="G59">
        <v>108.89</v>
      </c>
      <c r="H59">
        <v>17.89</v>
      </c>
      <c r="I59">
        <v>23.32</v>
      </c>
      <c r="J59">
        <v>35.92</v>
      </c>
    </row>
    <row r="60" spans="1:10" x14ac:dyDescent="0.45">
      <c r="A60" s="1">
        <v>44776</v>
      </c>
      <c r="B60">
        <v>160.12</v>
      </c>
      <c r="C60">
        <v>136.59</v>
      </c>
      <c r="D60">
        <v>15.09</v>
      </c>
      <c r="E60">
        <v>14.67</v>
      </c>
      <c r="F60">
        <v>19.36</v>
      </c>
      <c r="G60">
        <v>108.6</v>
      </c>
      <c r="H60">
        <v>18.05</v>
      </c>
      <c r="I60">
        <v>23.26</v>
      </c>
      <c r="J60">
        <v>36.06</v>
      </c>
    </row>
    <row r="61" spans="1:10" x14ac:dyDescent="0.45">
      <c r="A61" s="1">
        <v>44775</v>
      </c>
      <c r="B61">
        <v>156.06</v>
      </c>
      <c r="C61">
        <v>133.18</v>
      </c>
      <c r="D61">
        <v>14.67</v>
      </c>
      <c r="E61">
        <v>14.44</v>
      </c>
      <c r="F61">
        <v>19.059999999999999</v>
      </c>
      <c r="G61">
        <v>107.93</v>
      </c>
      <c r="H61">
        <v>18.239999999999998</v>
      </c>
      <c r="I61">
        <v>23.11</v>
      </c>
      <c r="J61">
        <v>35.75</v>
      </c>
    </row>
    <row r="62" spans="1:10" x14ac:dyDescent="0.45">
      <c r="A62" s="1">
        <v>44774</v>
      </c>
      <c r="B62">
        <v>156.32</v>
      </c>
      <c r="C62">
        <v>132.88</v>
      </c>
      <c r="D62">
        <v>14.69</v>
      </c>
      <c r="E62">
        <v>14.52</v>
      </c>
      <c r="F62">
        <v>19.2</v>
      </c>
      <c r="G62">
        <v>108.12</v>
      </c>
      <c r="H62">
        <v>18.43</v>
      </c>
      <c r="I62">
        <v>23.11</v>
      </c>
      <c r="J62">
        <v>35.950000000000003</v>
      </c>
    </row>
    <row r="63" spans="1:10" x14ac:dyDescent="0.45">
      <c r="A63" s="1">
        <v>44771</v>
      </c>
      <c r="B63">
        <v>156.6</v>
      </c>
      <c r="C63">
        <v>132.94999999999999</v>
      </c>
      <c r="D63">
        <v>14.74</v>
      </c>
      <c r="E63">
        <v>14.56</v>
      </c>
      <c r="F63">
        <v>19.260000000000002</v>
      </c>
      <c r="G63">
        <v>108.21</v>
      </c>
      <c r="H63">
        <v>18.649999999999999</v>
      </c>
      <c r="I63">
        <v>23.42</v>
      </c>
      <c r="J63">
        <v>36.1</v>
      </c>
    </row>
    <row r="64" spans="1:10" x14ac:dyDescent="0.45">
      <c r="A64" s="1">
        <v>44770</v>
      </c>
      <c r="B64">
        <v>153.72999999999999</v>
      </c>
      <c r="C64">
        <v>129.76</v>
      </c>
      <c r="D64">
        <v>14.52</v>
      </c>
      <c r="E64">
        <v>14.35</v>
      </c>
      <c r="F64">
        <v>19</v>
      </c>
      <c r="G64">
        <v>107.14</v>
      </c>
      <c r="H64">
        <v>18.059999999999999</v>
      </c>
      <c r="I64">
        <v>23.63</v>
      </c>
      <c r="J64">
        <v>35.82</v>
      </c>
    </row>
    <row r="65" spans="1:10" x14ac:dyDescent="0.45">
      <c r="A65" s="1">
        <v>44769</v>
      </c>
      <c r="B65">
        <v>152.06</v>
      </c>
      <c r="C65">
        <v>128.22</v>
      </c>
      <c r="D65">
        <v>14.43</v>
      </c>
      <c r="E65">
        <v>14.18</v>
      </c>
      <c r="F65">
        <v>18.84</v>
      </c>
      <c r="G65">
        <v>103.03</v>
      </c>
      <c r="H65">
        <v>17.96</v>
      </c>
      <c r="I65">
        <v>23.61</v>
      </c>
      <c r="J65">
        <v>35.659999999999997</v>
      </c>
    </row>
    <row r="66" spans="1:10" x14ac:dyDescent="0.45">
      <c r="A66" s="1">
        <v>44768</v>
      </c>
      <c r="B66">
        <v>146.13</v>
      </c>
      <c r="C66">
        <v>122.83</v>
      </c>
      <c r="D66">
        <v>13.91</v>
      </c>
      <c r="E66">
        <v>13.8</v>
      </c>
      <c r="F66">
        <v>18.37</v>
      </c>
      <c r="G66">
        <v>102.81</v>
      </c>
      <c r="H66">
        <v>17.59</v>
      </c>
      <c r="I66">
        <v>23.41</v>
      </c>
      <c r="J66">
        <v>35.26</v>
      </c>
    </row>
    <row r="67" spans="1:10" x14ac:dyDescent="0.45">
      <c r="A67" s="1">
        <v>44767</v>
      </c>
      <c r="B67">
        <v>148.94</v>
      </c>
      <c r="C67">
        <v>125.98</v>
      </c>
      <c r="D67">
        <v>14.16</v>
      </c>
      <c r="E67">
        <v>13.98</v>
      </c>
      <c r="F67">
        <v>18.579999999999998</v>
      </c>
      <c r="G67">
        <v>102.42</v>
      </c>
      <c r="H67">
        <v>17.579999999999998</v>
      </c>
      <c r="I67">
        <v>23.36</v>
      </c>
      <c r="J67">
        <v>35.380000000000003</v>
      </c>
    </row>
    <row r="68" spans="1:10" x14ac:dyDescent="0.45">
      <c r="A68" s="1">
        <v>44764</v>
      </c>
      <c r="B68">
        <v>149.58000000000001</v>
      </c>
      <c r="C68">
        <v>126.58</v>
      </c>
      <c r="D68">
        <v>14.22</v>
      </c>
      <c r="E68">
        <v>13.96</v>
      </c>
      <c r="F68">
        <v>18.53</v>
      </c>
      <c r="G68">
        <v>101.07</v>
      </c>
      <c r="H68">
        <v>17.09</v>
      </c>
      <c r="I68">
        <v>23.3</v>
      </c>
      <c r="J68">
        <v>35.130000000000003</v>
      </c>
    </row>
    <row r="69" spans="1:10" x14ac:dyDescent="0.45">
      <c r="A69" s="1">
        <v>44763</v>
      </c>
      <c r="B69">
        <v>152.44999999999999</v>
      </c>
      <c r="C69">
        <v>129.63</v>
      </c>
      <c r="D69">
        <v>14.52</v>
      </c>
      <c r="E69">
        <v>14.11</v>
      </c>
      <c r="F69">
        <v>18.73</v>
      </c>
      <c r="G69">
        <v>99.92</v>
      </c>
      <c r="H69">
        <v>17.29</v>
      </c>
      <c r="I69">
        <v>23.46</v>
      </c>
      <c r="J69">
        <v>35.229999999999997</v>
      </c>
    </row>
    <row r="70" spans="1:10" x14ac:dyDescent="0.45">
      <c r="A70" s="1">
        <v>44762</v>
      </c>
      <c r="B70">
        <v>150.38999999999999</v>
      </c>
      <c r="C70">
        <v>127.82</v>
      </c>
      <c r="D70">
        <v>14.37</v>
      </c>
      <c r="E70">
        <v>13.97</v>
      </c>
      <c r="F70">
        <v>18.57</v>
      </c>
      <c r="G70">
        <v>99.82</v>
      </c>
      <c r="H70">
        <v>17.329999999999998</v>
      </c>
      <c r="I70">
        <v>23.32</v>
      </c>
      <c r="J70">
        <v>35.15</v>
      </c>
    </row>
    <row r="71" spans="1:10" x14ac:dyDescent="0.45">
      <c r="A71" s="1">
        <v>44761</v>
      </c>
      <c r="B71">
        <v>148.08000000000001</v>
      </c>
      <c r="C71">
        <v>125.09</v>
      </c>
      <c r="D71">
        <v>14.17</v>
      </c>
      <c r="E71">
        <v>13.87</v>
      </c>
      <c r="F71">
        <v>18.47</v>
      </c>
      <c r="G71">
        <v>100.96</v>
      </c>
      <c r="H71">
        <v>17.239999999999998</v>
      </c>
      <c r="I71">
        <v>23.65</v>
      </c>
      <c r="J71">
        <v>35.340000000000003</v>
      </c>
    </row>
    <row r="72" spans="1:10" x14ac:dyDescent="0.45">
      <c r="A72" s="1">
        <v>44760</v>
      </c>
      <c r="B72">
        <v>143.61000000000001</v>
      </c>
      <c r="C72">
        <v>121.05</v>
      </c>
      <c r="D72">
        <v>13.76</v>
      </c>
      <c r="E72">
        <v>13.5</v>
      </c>
      <c r="F72">
        <v>17.989999999999998</v>
      </c>
      <c r="G72">
        <v>99.98</v>
      </c>
      <c r="H72">
        <v>16.760000000000002</v>
      </c>
      <c r="I72">
        <v>23.19</v>
      </c>
      <c r="J72">
        <v>34.520000000000003</v>
      </c>
    </row>
    <row r="73" spans="1:10" x14ac:dyDescent="0.45">
      <c r="A73" s="1">
        <v>44757</v>
      </c>
      <c r="B73">
        <v>144.77000000000001</v>
      </c>
      <c r="C73">
        <v>121.38</v>
      </c>
      <c r="D73">
        <v>13.87</v>
      </c>
      <c r="E73">
        <v>13.61</v>
      </c>
      <c r="F73">
        <v>18.13</v>
      </c>
      <c r="G73">
        <v>101.05</v>
      </c>
      <c r="H73">
        <v>16.489999999999998</v>
      </c>
      <c r="I73">
        <v>23.64</v>
      </c>
      <c r="J73">
        <v>34.78</v>
      </c>
    </row>
    <row r="74" spans="1:10" x14ac:dyDescent="0.45">
      <c r="A74" s="1">
        <v>44756</v>
      </c>
      <c r="B74">
        <v>142.22</v>
      </c>
      <c r="C74">
        <v>118.82</v>
      </c>
      <c r="D74">
        <v>13.64</v>
      </c>
      <c r="E74">
        <v>13.35</v>
      </c>
      <c r="F74">
        <v>17.8</v>
      </c>
      <c r="G74">
        <v>100.98</v>
      </c>
      <c r="H74">
        <v>16.23</v>
      </c>
      <c r="I74">
        <v>23.21</v>
      </c>
      <c r="J74">
        <v>34.130000000000003</v>
      </c>
    </row>
    <row r="75" spans="1:10" x14ac:dyDescent="0.45">
      <c r="A75" s="1">
        <v>44755</v>
      </c>
      <c r="B75">
        <v>142.18</v>
      </c>
      <c r="C75">
        <v>119.05</v>
      </c>
      <c r="D75">
        <v>13.66</v>
      </c>
      <c r="E75">
        <v>13.39</v>
      </c>
      <c r="F75">
        <v>17.87</v>
      </c>
      <c r="G75">
        <v>100.98</v>
      </c>
      <c r="H75">
        <v>16.72</v>
      </c>
      <c r="I75">
        <v>23.36</v>
      </c>
      <c r="J75">
        <v>34.47</v>
      </c>
    </row>
    <row r="76" spans="1:10" x14ac:dyDescent="0.45">
      <c r="A76" s="1">
        <v>44754</v>
      </c>
      <c r="B76">
        <v>142.38999999999999</v>
      </c>
      <c r="C76">
        <v>119.02</v>
      </c>
      <c r="D76">
        <v>13.68</v>
      </c>
      <c r="E76">
        <v>13.45</v>
      </c>
      <c r="F76">
        <v>17.940000000000001</v>
      </c>
      <c r="G76">
        <v>101.37</v>
      </c>
      <c r="H76">
        <v>16.66</v>
      </c>
      <c r="I76">
        <v>23.42</v>
      </c>
      <c r="J76">
        <v>34.74</v>
      </c>
    </row>
    <row r="77" spans="1:10" x14ac:dyDescent="0.45">
      <c r="A77" s="1">
        <v>44753</v>
      </c>
      <c r="B77">
        <v>143.75</v>
      </c>
      <c r="C77">
        <v>120.2</v>
      </c>
      <c r="D77">
        <v>13.81</v>
      </c>
      <c r="E77">
        <v>13.58</v>
      </c>
      <c r="F77">
        <v>18.11</v>
      </c>
      <c r="G77">
        <v>101.81</v>
      </c>
      <c r="H77">
        <v>16.850000000000001</v>
      </c>
      <c r="I77">
        <v>23.63</v>
      </c>
      <c r="J77">
        <v>34.89</v>
      </c>
    </row>
    <row r="78" spans="1:10" x14ac:dyDescent="0.45">
      <c r="A78" s="1">
        <v>44750</v>
      </c>
      <c r="B78">
        <v>147.07</v>
      </c>
      <c r="C78">
        <v>123.36</v>
      </c>
      <c r="D78">
        <v>14.12</v>
      </c>
      <c r="E78">
        <v>13.75</v>
      </c>
      <c r="F78">
        <v>18.309999999999999</v>
      </c>
      <c r="G78">
        <v>101.43</v>
      </c>
      <c r="H78">
        <v>17.07</v>
      </c>
      <c r="I78">
        <v>23.52</v>
      </c>
      <c r="J78">
        <v>35.11</v>
      </c>
    </row>
    <row r="79" spans="1:10" x14ac:dyDescent="0.45">
      <c r="A79" s="1">
        <v>44749</v>
      </c>
      <c r="B79">
        <v>146.88999999999999</v>
      </c>
      <c r="C79">
        <v>123.4</v>
      </c>
      <c r="D79">
        <v>14.14</v>
      </c>
      <c r="E79">
        <v>13.76</v>
      </c>
      <c r="F79">
        <v>18.32</v>
      </c>
      <c r="G79">
        <v>101.56</v>
      </c>
      <c r="H79">
        <v>17.170000000000002</v>
      </c>
      <c r="I79">
        <v>23.47</v>
      </c>
      <c r="J79">
        <v>35.090000000000003</v>
      </c>
    </row>
    <row r="80" spans="1:10" x14ac:dyDescent="0.45">
      <c r="A80" s="1">
        <v>44748</v>
      </c>
      <c r="B80">
        <v>143.6</v>
      </c>
      <c r="C80">
        <v>119.97</v>
      </c>
      <c r="D80">
        <v>13.85</v>
      </c>
      <c r="E80">
        <v>13.55</v>
      </c>
      <c r="F80">
        <v>18.04</v>
      </c>
      <c r="G80">
        <v>101.15</v>
      </c>
      <c r="H80">
        <v>16.600000000000001</v>
      </c>
      <c r="I80">
        <v>23.31</v>
      </c>
      <c r="J80">
        <v>34.79</v>
      </c>
    </row>
    <row r="81" spans="1:10" x14ac:dyDescent="0.45">
      <c r="A81" s="1">
        <v>44747</v>
      </c>
      <c r="B81">
        <v>143.1</v>
      </c>
      <c r="C81">
        <v>119.91</v>
      </c>
      <c r="D81">
        <v>13.8</v>
      </c>
      <c r="E81">
        <v>13.51</v>
      </c>
      <c r="F81">
        <v>17.98</v>
      </c>
      <c r="G81">
        <v>100.3</v>
      </c>
      <c r="H81">
        <v>16.739999999999998</v>
      </c>
      <c r="I81">
        <v>23.2</v>
      </c>
      <c r="J81">
        <v>34.64</v>
      </c>
    </row>
    <row r="82" spans="1:10" x14ac:dyDescent="0.45">
      <c r="A82" s="1">
        <v>44743</v>
      </c>
      <c r="B82">
        <v>140.62</v>
      </c>
      <c r="C82">
        <v>117.29</v>
      </c>
      <c r="D82">
        <v>13.59</v>
      </c>
      <c r="E82">
        <v>13.47</v>
      </c>
      <c r="F82">
        <v>17.96</v>
      </c>
      <c r="G82">
        <v>103.91</v>
      </c>
      <c r="H82">
        <v>17.41</v>
      </c>
      <c r="I82">
        <v>23.11</v>
      </c>
      <c r="J82">
        <v>35.07</v>
      </c>
    </row>
    <row r="83" spans="1:10" x14ac:dyDescent="0.45">
      <c r="A83" s="1">
        <v>44742</v>
      </c>
      <c r="B83">
        <v>139.37</v>
      </c>
      <c r="C83">
        <v>116.58</v>
      </c>
      <c r="D83">
        <v>13.51</v>
      </c>
      <c r="E83">
        <v>13.32</v>
      </c>
      <c r="F83">
        <v>17.78</v>
      </c>
      <c r="G83">
        <v>101.79</v>
      </c>
      <c r="H83">
        <v>17.39</v>
      </c>
      <c r="I83">
        <v>22.89</v>
      </c>
      <c r="J83">
        <v>34.619999999999997</v>
      </c>
    </row>
    <row r="84" spans="1:10" x14ac:dyDescent="0.45">
      <c r="A84" s="1">
        <v>44741</v>
      </c>
      <c r="B84">
        <v>141.25</v>
      </c>
      <c r="C84">
        <v>118.84</v>
      </c>
      <c r="D84">
        <v>13.71</v>
      </c>
      <c r="E84">
        <v>13.44</v>
      </c>
      <c r="F84">
        <v>17.93</v>
      </c>
      <c r="G84">
        <v>100.77</v>
      </c>
      <c r="H84">
        <v>17.809999999999999</v>
      </c>
      <c r="I84">
        <v>23.1</v>
      </c>
      <c r="J84">
        <v>34.79</v>
      </c>
    </row>
    <row r="85" spans="1:10" x14ac:dyDescent="0.45">
      <c r="A85" s="1">
        <v>44740</v>
      </c>
      <c r="B85">
        <v>141.28</v>
      </c>
      <c r="C85">
        <v>119.35</v>
      </c>
      <c r="D85">
        <v>13.64</v>
      </c>
      <c r="E85">
        <v>13.46</v>
      </c>
      <c r="F85">
        <v>17.940000000000001</v>
      </c>
      <c r="G85">
        <v>101.14</v>
      </c>
      <c r="H85">
        <v>18.13</v>
      </c>
      <c r="I85">
        <v>22.93</v>
      </c>
      <c r="J85">
        <v>34.880000000000003</v>
      </c>
    </row>
    <row r="86" spans="1:10" x14ac:dyDescent="0.45">
      <c r="A86" s="1">
        <v>44739</v>
      </c>
      <c r="B86">
        <v>145.6</v>
      </c>
      <c r="C86">
        <v>123.46</v>
      </c>
      <c r="D86">
        <v>14.03</v>
      </c>
      <c r="E86">
        <v>13.74</v>
      </c>
      <c r="F86">
        <v>18.29</v>
      </c>
      <c r="G86">
        <v>101.86</v>
      </c>
      <c r="H86">
        <v>17.97</v>
      </c>
      <c r="I86">
        <v>23.39</v>
      </c>
      <c r="J86">
        <v>35.22</v>
      </c>
    </row>
    <row r="87" spans="1:10" x14ac:dyDescent="0.45">
      <c r="A87" s="1">
        <v>44736</v>
      </c>
      <c r="B87">
        <v>146.65</v>
      </c>
      <c r="C87">
        <v>124.43</v>
      </c>
      <c r="D87">
        <v>14.15</v>
      </c>
      <c r="E87">
        <v>13.79</v>
      </c>
      <c r="F87">
        <v>18.32</v>
      </c>
      <c r="G87">
        <v>101.11</v>
      </c>
      <c r="H87">
        <v>17.61</v>
      </c>
      <c r="I87">
        <v>23.33</v>
      </c>
      <c r="J87">
        <v>35.119999999999997</v>
      </c>
    </row>
    <row r="88" spans="1:10" x14ac:dyDescent="0.45">
      <c r="A88" s="1">
        <v>44735</v>
      </c>
      <c r="B88">
        <v>141.9</v>
      </c>
      <c r="C88">
        <v>120.14</v>
      </c>
      <c r="D88">
        <v>13.69</v>
      </c>
      <c r="E88">
        <v>13.37</v>
      </c>
      <c r="F88">
        <v>17.79</v>
      </c>
      <c r="G88">
        <v>99.3</v>
      </c>
      <c r="H88">
        <v>17.11</v>
      </c>
      <c r="I88">
        <v>22.62</v>
      </c>
      <c r="J88">
        <v>34.229999999999997</v>
      </c>
    </row>
    <row r="89" spans="1:10" x14ac:dyDescent="0.45">
      <c r="A89" s="1">
        <v>44734</v>
      </c>
      <c r="B89">
        <v>139.63999999999999</v>
      </c>
      <c r="C89">
        <v>118.51</v>
      </c>
      <c r="D89">
        <v>13.49</v>
      </c>
      <c r="E89">
        <v>13.23</v>
      </c>
      <c r="F89">
        <v>17.64</v>
      </c>
      <c r="G89">
        <v>97.39</v>
      </c>
      <c r="H89">
        <v>17.96</v>
      </c>
      <c r="I89">
        <v>22.11</v>
      </c>
      <c r="J89">
        <v>34.14</v>
      </c>
    </row>
    <row r="90" spans="1:10" x14ac:dyDescent="0.45">
      <c r="A90" s="1">
        <v>44733</v>
      </c>
      <c r="B90">
        <v>139.84</v>
      </c>
      <c r="C90">
        <v>119.09</v>
      </c>
      <c r="D90">
        <v>13.53</v>
      </c>
      <c r="E90">
        <v>13.25</v>
      </c>
      <c r="F90">
        <v>17.690000000000001</v>
      </c>
      <c r="G90">
        <v>96.57</v>
      </c>
      <c r="H90">
        <v>18.57</v>
      </c>
      <c r="I90">
        <v>21.83</v>
      </c>
      <c r="J90">
        <v>34.17</v>
      </c>
    </row>
    <row r="91" spans="1:10" x14ac:dyDescent="0.45">
      <c r="A91" s="1">
        <v>44729</v>
      </c>
      <c r="B91">
        <v>136.41</v>
      </c>
      <c r="C91">
        <v>116.22</v>
      </c>
      <c r="D91">
        <v>13.25</v>
      </c>
      <c r="E91">
        <v>12.93</v>
      </c>
      <c r="F91">
        <v>17.29</v>
      </c>
      <c r="G91">
        <v>94.66</v>
      </c>
      <c r="H91">
        <v>18.03</v>
      </c>
      <c r="I91">
        <v>21.35</v>
      </c>
      <c r="J91">
        <v>33.4</v>
      </c>
    </row>
    <row r="92" spans="1:10" x14ac:dyDescent="0.45">
      <c r="A92" s="1">
        <v>44728</v>
      </c>
      <c r="B92">
        <v>134.5</v>
      </c>
      <c r="C92">
        <v>114.82</v>
      </c>
      <c r="D92">
        <v>13.07</v>
      </c>
      <c r="E92">
        <v>12.89</v>
      </c>
      <c r="F92">
        <v>17.25</v>
      </c>
      <c r="G92">
        <v>95.41</v>
      </c>
      <c r="H92">
        <v>18.66</v>
      </c>
      <c r="I92">
        <v>21.14</v>
      </c>
      <c r="J92">
        <v>33.450000000000003</v>
      </c>
    </row>
    <row r="93" spans="1:10" x14ac:dyDescent="0.45">
      <c r="A93" s="1">
        <v>44727</v>
      </c>
      <c r="B93">
        <v>140.22999999999999</v>
      </c>
      <c r="C93">
        <v>120.52</v>
      </c>
      <c r="D93">
        <v>13.57</v>
      </c>
      <c r="E93">
        <v>13.33</v>
      </c>
      <c r="F93">
        <v>17.850000000000001</v>
      </c>
      <c r="G93">
        <v>97.69</v>
      </c>
      <c r="H93">
        <v>19.350000000000001</v>
      </c>
      <c r="I93">
        <v>21.28</v>
      </c>
      <c r="J93">
        <v>34.19</v>
      </c>
    </row>
    <row r="94" spans="1:10" x14ac:dyDescent="0.45">
      <c r="A94" s="1">
        <v>44726</v>
      </c>
      <c r="B94">
        <v>136.81</v>
      </c>
      <c r="C94">
        <v>117.58</v>
      </c>
      <c r="D94">
        <v>13.3</v>
      </c>
      <c r="E94">
        <v>13.13</v>
      </c>
      <c r="F94">
        <v>17.63</v>
      </c>
      <c r="G94">
        <v>96.42</v>
      </c>
      <c r="H94">
        <v>19.3</v>
      </c>
      <c r="I94">
        <v>21.02</v>
      </c>
      <c r="J94">
        <v>33.93</v>
      </c>
    </row>
    <row r="95" spans="1:10" x14ac:dyDescent="0.45">
      <c r="A95" s="1">
        <v>44725</v>
      </c>
      <c r="B95">
        <v>136.55000000000001</v>
      </c>
      <c r="C95">
        <v>117.31</v>
      </c>
      <c r="D95">
        <v>13.26</v>
      </c>
      <c r="E95">
        <v>13.18</v>
      </c>
      <c r="F95">
        <v>17.66</v>
      </c>
      <c r="G95">
        <v>98.86</v>
      </c>
      <c r="H95">
        <v>19.329999999999998</v>
      </c>
      <c r="I95">
        <v>21.17</v>
      </c>
      <c r="J95">
        <v>34.28</v>
      </c>
    </row>
    <row r="96" spans="1:10" x14ac:dyDescent="0.45">
      <c r="A96" s="1">
        <v>44722</v>
      </c>
      <c r="B96">
        <v>143.24</v>
      </c>
      <c r="C96">
        <v>123.82</v>
      </c>
      <c r="D96">
        <v>13.88</v>
      </c>
      <c r="E96">
        <v>13.72</v>
      </c>
      <c r="F96">
        <v>18.38</v>
      </c>
      <c r="G96">
        <v>104.04</v>
      </c>
      <c r="H96">
        <v>20.21</v>
      </c>
      <c r="I96">
        <v>21.8</v>
      </c>
      <c r="J96">
        <v>35.47</v>
      </c>
    </row>
    <row r="97" spans="1:10" x14ac:dyDescent="0.45">
      <c r="A97" s="1">
        <v>44721</v>
      </c>
      <c r="B97">
        <v>148.47999999999999</v>
      </c>
      <c r="C97">
        <v>128.84</v>
      </c>
      <c r="D97">
        <v>14.36</v>
      </c>
      <c r="E97">
        <v>14.14</v>
      </c>
      <c r="F97">
        <v>18.940000000000001</v>
      </c>
      <c r="G97">
        <v>105.46</v>
      </c>
      <c r="H97">
        <v>20.58</v>
      </c>
      <c r="I97">
        <v>22.25</v>
      </c>
      <c r="J97">
        <v>36.229999999999997</v>
      </c>
    </row>
    <row r="98" spans="1:10" x14ac:dyDescent="0.45">
      <c r="A98" s="1">
        <v>44720</v>
      </c>
      <c r="B98">
        <v>152.65</v>
      </c>
      <c r="C98">
        <v>132.63999999999999</v>
      </c>
      <c r="D98">
        <v>14.77</v>
      </c>
      <c r="E98">
        <v>14.49</v>
      </c>
      <c r="F98">
        <v>19.39</v>
      </c>
      <c r="G98">
        <v>108.17</v>
      </c>
      <c r="H98">
        <v>21.19</v>
      </c>
      <c r="I98">
        <v>22.8</v>
      </c>
      <c r="J98">
        <v>37.01</v>
      </c>
    </row>
    <row r="99" spans="1:10" x14ac:dyDescent="0.45">
      <c r="A99" s="1">
        <v>44719</v>
      </c>
      <c r="B99">
        <v>153.78</v>
      </c>
      <c r="C99">
        <v>133.27000000000001</v>
      </c>
      <c r="D99">
        <v>14.82</v>
      </c>
      <c r="E99">
        <v>14.65</v>
      </c>
      <c r="F99">
        <v>19.61</v>
      </c>
      <c r="G99">
        <v>110.2</v>
      </c>
      <c r="H99">
        <v>21.46</v>
      </c>
      <c r="I99">
        <v>22.84</v>
      </c>
      <c r="J99">
        <v>37.450000000000003</v>
      </c>
    </row>
    <row r="100" spans="1:10" x14ac:dyDescent="0.45">
      <c r="A100" s="1">
        <v>44718</v>
      </c>
      <c r="B100">
        <v>152.34</v>
      </c>
      <c r="C100">
        <v>131.93</v>
      </c>
      <c r="D100">
        <v>14.68</v>
      </c>
      <c r="E100">
        <v>14.5</v>
      </c>
      <c r="F100">
        <v>19.41</v>
      </c>
      <c r="G100">
        <v>109.49</v>
      </c>
      <c r="H100">
        <v>21.17</v>
      </c>
      <c r="I100">
        <v>22.4</v>
      </c>
      <c r="J100">
        <v>37.1</v>
      </c>
    </row>
    <row r="101" spans="1:10" x14ac:dyDescent="0.45">
      <c r="A101" s="1">
        <v>44715</v>
      </c>
      <c r="B101">
        <v>151.71</v>
      </c>
      <c r="C101">
        <v>131.06</v>
      </c>
      <c r="D101">
        <v>14.6</v>
      </c>
      <c r="E101">
        <v>14.46</v>
      </c>
      <c r="F101">
        <v>19.350000000000001</v>
      </c>
      <c r="G101">
        <v>108.81</v>
      </c>
      <c r="H101">
        <v>21.13</v>
      </c>
      <c r="I101">
        <v>22.56</v>
      </c>
      <c r="J101">
        <v>36.96</v>
      </c>
    </row>
    <row r="102" spans="1:10" x14ac:dyDescent="0.45">
      <c r="A102" s="1">
        <v>44714</v>
      </c>
      <c r="B102">
        <v>155.55000000000001</v>
      </c>
      <c r="C102">
        <v>134.44999999999999</v>
      </c>
      <c r="D102">
        <v>14.89</v>
      </c>
      <c r="E102">
        <v>14.7</v>
      </c>
      <c r="F102">
        <v>19.63</v>
      </c>
      <c r="G102">
        <v>109.2</v>
      </c>
      <c r="H102">
        <v>21.27</v>
      </c>
      <c r="I102">
        <v>22.5</v>
      </c>
      <c r="J102">
        <v>37.32</v>
      </c>
    </row>
    <row r="103" spans="1:10" x14ac:dyDescent="0.45">
      <c r="A103" s="1">
        <v>44713</v>
      </c>
      <c r="B103">
        <v>151.47</v>
      </c>
      <c r="C103">
        <v>130.16999999999999</v>
      </c>
      <c r="D103">
        <v>14.54</v>
      </c>
      <c r="E103">
        <v>14.41</v>
      </c>
      <c r="F103">
        <v>19.29</v>
      </c>
      <c r="G103">
        <v>108.3</v>
      </c>
      <c r="H103">
        <v>20.94</v>
      </c>
      <c r="I103">
        <v>22.39</v>
      </c>
      <c r="J103">
        <v>36.96</v>
      </c>
    </row>
    <row r="104" spans="1:10" x14ac:dyDescent="0.45">
      <c r="A104" s="1">
        <v>44712</v>
      </c>
      <c r="B104">
        <v>152.56</v>
      </c>
      <c r="C104">
        <v>131.03</v>
      </c>
      <c r="D104">
        <v>14.62</v>
      </c>
      <c r="E104">
        <v>14.52</v>
      </c>
      <c r="F104">
        <v>19.41</v>
      </c>
      <c r="G104">
        <v>108.36</v>
      </c>
      <c r="H104">
        <v>21.08</v>
      </c>
      <c r="I104">
        <v>22.61</v>
      </c>
      <c r="J104">
        <v>37.24</v>
      </c>
    </row>
    <row r="105" spans="1:10" x14ac:dyDescent="0.45">
      <c r="A105" s="1">
        <v>44708</v>
      </c>
      <c r="B105">
        <v>153.18</v>
      </c>
      <c r="C105">
        <v>131.87</v>
      </c>
      <c r="D105">
        <v>14.66</v>
      </c>
      <c r="E105">
        <v>14.62</v>
      </c>
      <c r="F105">
        <v>19.54</v>
      </c>
      <c r="G105">
        <v>109.94</v>
      </c>
      <c r="H105">
        <v>21.23</v>
      </c>
      <c r="I105">
        <v>23.06</v>
      </c>
      <c r="J105">
        <v>37.56</v>
      </c>
    </row>
    <row r="106" spans="1:10" x14ac:dyDescent="0.45">
      <c r="A106" s="1">
        <v>44707</v>
      </c>
      <c r="B106">
        <v>148.24</v>
      </c>
      <c r="C106">
        <v>127.62</v>
      </c>
      <c r="D106">
        <v>14.24</v>
      </c>
      <c r="E106">
        <v>14.26</v>
      </c>
      <c r="F106">
        <v>19.059999999999999</v>
      </c>
      <c r="G106">
        <v>107.93</v>
      </c>
      <c r="H106">
        <v>20.99</v>
      </c>
      <c r="I106">
        <v>22.79</v>
      </c>
      <c r="J106">
        <v>37.03</v>
      </c>
    </row>
    <row r="107" spans="1:10" x14ac:dyDescent="0.45">
      <c r="A107" s="1">
        <v>44706</v>
      </c>
      <c r="B107">
        <v>144.37</v>
      </c>
      <c r="C107">
        <v>123.5</v>
      </c>
      <c r="D107">
        <v>13.89</v>
      </c>
      <c r="E107">
        <v>13.97</v>
      </c>
      <c r="F107">
        <v>18.71</v>
      </c>
      <c r="G107">
        <v>107.53</v>
      </c>
      <c r="H107">
        <v>20.83</v>
      </c>
      <c r="I107">
        <v>22.68</v>
      </c>
      <c r="J107">
        <v>36.6</v>
      </c>
    </row>
    <row r="108" spans="1:10" x14ac:dyDescent="0.45">
      <c r="A108" s="1">
        <v>44705</v>
      </c>
      <c r="B108">
        <v>142.22</v>
      </c>
      <c r="C108">
        <v>120.98</v>
      </c>
      <c r="D108">
        <v>13.72</v>
      </c>
      <c r="E108">
        <v>13.83</v>
      </c>
      <c r="F108">
        <v>18.53</v>
      </c>
      <c r="G108">
        <v>106.94</v>
      </c>
      <c r="H108">
        <v>20.58</v>
      </c>
      <c r="I108">
        <v>22.72</v>
      </c>
      <c r="J108">
        <v>36.4</v>
      </c>
    </row>
    <row r="109" spans="1:10" x14ac:dyDescent="0.45">
      <c r="A109" s="1">
        <v>44704</v>
      </c>
      <c r="B109">
        <v>145.63</v>
      </c>
      <c r="C109">
        <v>125.44</v>
      </c>
      <c r="D109">
        <v>14.09</v>
      </c>
      <c r="E109">
        <v>13.97</v>
      </c>
      <c r="F109">
        <v>18.68</v>
      </c>
      <c r="G109">
        <v>105.42</v>
      </c>
      <c r="H109">
        <v>20.57</v>
      </c>
      <c r="I109">
        <v>22.73</v>
      </c>
      <c r="J109">
        <v>36.29</v>
      </c>
    </row>
    <row r="110" spans="1:10" x14ac:dyDescent="0.45">
      <c r="A110" s="1">
        <v>44701</v>
      </c>
      <c r="B110">
        <v>143.34</v>
      </c>
      <c r="C110">
        <v>123.47</v>
      </c>
      <c r="D110">
        <v>13.85</v>
      </c>
      <c r="E110">
        <v>13.72</v>
      </c>
      <c r="F110">
        <v>18.309999999999999</v>
      </c>
      <c r="G110">
        <v>104.09</v>
      </c>
      <c r="H110">
        <v>19.98</v>
      </c>
      <c r="I110">
        <v>22.55</v>
      </c>
      <c r="J110">
        <v>35.65</v>
      </c>
    </row>
    <row r="111" spans="1:10" x14ac:dyDescent="0.45">
      <c r="A111" s="1">
        <v>44700</v>
      </c>
      <c r="B111">
        <v>143.75</v>
      </c>
      <c r="C111">
        <v>124.08</v>
      </c>
      <c r="D111">
        <v>13.84</v>
      </c>
      <c r="E111">
        <v>13.71</v>
      </c>
      <c r="F111">
        <v>18.3</v>
      </c>
      <c r="G111">
        <v>104.23</v>
      </c>
      <c r="H111">
        <v>20.04</v>
      </c>
      <c r="I111">
        <v>22.15</v>
      </c>
      <c r="J111">
        <v>35.619999999999997</v>
      </c>
    </row>
    <row r="112" spans="1:10" x14ac:dyDescent="0.45">
      <c r="A112" s="1">
        <v>44699</v>
      </c>
      <c r="B112">
        <v>144.08000000000001</v>
      </c>
      <c r="C112">
        <v>123.81</v>
      </c>
      <c r="D112">
        <v>13.86</v>
      </c>
      <c r="E112">
        <v>13.77</v>
      </c>
      <c r="F112">
        <v>18.399999999999999</v>
      </c>
      <c r="G112">
        <v>104.3</v>
      </c>
      <c r="H112">
        <v>19.84</v>
      </c>
      <c r="I112">
        <v>22.05</v>
      </c>
      <c r="J112">
        <v>35.74</v>
      </c>
    </row>
    <row r="113" spans="1:10" x14ac:dyDescent="0.45">
      <c r="A113" s="1">
        <v>44698</v>
      </c>
      <c r="B113">
        <v>151.22999999999999</v>
      </c>
      <c r="C113">
        <v>130.36000000000001</v>
      </c>
      <c r="D113">
        <v>14.48</v>
      </c>
      <c r="E113">
        <v>14.35</v>
      </c>
      <c r="F113">
        <v>19.170000000000002</v>
      </c>
      <c r="G113">
        <v>105.48</v>
      </c>
      <c r="H113">
        <v>20.49</v>
      </c>
      <c r="I113">
        <v>22.53</v>
      </c>
      <c r="J113">
        <v>36.83</v>
      </c>
    </row>
    <row r="114" spans="1:10" x14ac:dyDescent="0.45">
      <c r="A114" s="1">
        <v>44697</v>
      </c>
      <c r="B114">
        <v>147.16999999999999</v>
      </c>
      <c r="C114">
        <v>126.85</v>
      </c>
      <c r="D114">
        <v>14.15</v>
      </c>
      <c r="E114">
        <v>14.07</v>
      </c>
      <c r="F114">
        <v>18.8</v>
      </c>
      <c r="G114">
        <v>103.91</v>
      </c>
      <c r="H114">
        <v>19.98</v>
      </c>
      <c r="I114">
        <v>22.17</v>
      </c>
      <c r="J114">
        <v>36.22</v>
      </c>
    </row>
    <row r="115" spans="1:10" x14ac:dyDescent="0.45">
      <c r="A115" s="1">
        <v>44694</v>
      </c>
      <c r="B115">
        <v>148.94999999999999</v>
      </c>
      <c r="C115">
        <v>128.76</v>
      </c>
      <c r="D115">
        <v>14.31</v>
      </c>
      <c r="E115">
        <v>14.14</v>
      </c>
      <c r="F115">
        <v>18.87</v>
      </c>
      <c r="G115">
        <v>103.46</v>
      </c>
      <c r="H115">
        <v>19.59</v>
      </c>
      <c r="I115">
        <v>21.93</v>
      </c>
      <c r="J115">
        <v>36.07</v>
      </c>
    </row>
    <row r="116" spans="1:10" x14ac:dyDescent="0.45">
      <c r="A116" s="1">
        <v>44693</v>
      </c>
      <c r="B116">
        <v>143.49</v>
      </c>
      <c r="C116">
        <v>123.23</v>
      </c>
      <c r="D116">
        <v>13.83</v>
      </c>
      <c r="E116">
        <v>13.79</v>
      </c>
      <c r="F116">
        <v>18.420000000000002</v>
      </c>
      <c r="G116">
        <v>101.89</v>
      </c>
      <c r="H116">
        <v>19.07</v>
      </c>
      <c r="I116">
        <v>21.67</v>
      </c>
      <c r="J116">
        <v>35.6</v>
      </c>
    </row>
    <row r="117" spans="1:10" x14ac:dyDescent="0.45">
      <c r="A117" s="1">
        <v>44692</v>
      </c>
      <c r="B117">
        <v>143.4</v>
      </c>
      <c r="C117">
        <v>123.14</v>
      </c>
      <c r="D117">
        <v>13.85</v>
      </c>
      <c r="E117">
        <v>13.79</v>
      </c>
      <c r="F117">
        <v>18.440000000000001</v>
      </c>
      <c r="G117">
        <v>103.62</v>
      </c>
      <c r="H117">
        <v>19.25</v>
      </c>
      <c r="I117">
        <v>21.49</v>
      </c>
      <c r="J117">
        <v>35.6</v>
      </c>
    </row>
    <row r="118" spans="1:10" x14ac:dyDescent="0.45">
      <c r="A118" s="1">
        <v>44691</v>
      </c>
      <c r="B118">
        <v>148.1</v>
      </c>
      <c r="C118">
        <v>127.39</v>
      </c>
      <c r="D118">
        <v>14.26</v>
      </c>
      <c r="E118">
        <v>14.03</v>
      </c>
      <c r="F118">
        <v>18.73</v>
      </c>
      <c r="G118">
        <v>102.94</v>
      </c>
      <c r="H118">
        <v>19.05</v>
      </c>
      <c r="I118">
        <v>21.91</v>
      </c>
      <c r="J118">
        <v>35.79</v>
      </c>
    </row>
    <row r="119" spans="1:10" x14ac:dyDescent="0.45">
      <c r="A119" s="1">
        <v>44690</v>
      </c>
      <c r="B119">
        <v>146.63999999999999</v>
      </c>
      <c r="C119">
        <v>126.15</v>
      </c>
      <c r="D119">
        <v>14.11</v>
      </c>
      <c r="E119">
        <v>13.99</v>
      </c>
      <c r="F119">
        <v>18.670000000000002</v>
      </c>
      <c r="G119">
        <v>104.14</v>
      </c>
      <c r="H119">
        <v>18.95</v>
      </c>
      <c r="I119">
        <v>21.63</v>
      </c>
      <c r="J119">
        <v>35.880000000000003</v>
      </c>
    </row>
    <row r="120" spans="1:10" x14ac:dyDescent="0.45">
      <c r="A120" s="1">
        <v>44687</v>
      </c>
      <c r="B120">
        <v>153.18</v>
      </c>
      <c r="C120">
        <v>133.53</v>
      </c>
      <c r="D120">
        <v>14.78</v>
      </c>
      <c r="E120">
        <v>14.49</v>
      </c>
      <c r="F120">
        <v>19.309999999999999</v>
      </c>
      <c r="G120">
        <v>105.92</v>
      </c>
      <c r="H120">
        <v>20.34</v>
      </c>
      <c r="I120">
        <v>22.26</v>
      </c>
      <c r="J120">
        <v>36.61</v>
      </c>
    </row>
    <row r="121" spans="1:10" x14ac:dyDescent="0.45">
      <c r="A121" s="1">
        <v>44686</v>
      </c>
      <c r="B121">
        <v>155.32</v>
      </c>
      <c r="C121">
        <v>135.66999999999999</v>
      </c>
      <c r="D121">
        <v>15.01</v>
      </c>
      <c r="E121">
        <v>14.58</v>
      </c>
      <c r="F121">
        <v>19.399999999999999</v>
      </c>
      <c r="G121">
        <v>105.16</v>
      </c>
      <c r="H121">
        <v>20.350000000000001</v>
      </c>
      <c r="I121">
        <v>22.46</v>
      </c>
      <c r="J121">
        <v>36.630000000000003</v>
      </c>
    </row>
    <row r="122" spans="1:10" x14ac:dyDescent="0.45">
      <c r="A122" s="1">
        <v>44685</v>
      </c>
      <c r="B122">
        <v>163.47</v>
      </c>
      <c r="C122">
        <v>143.62</v>
      </c>
      <c r="D122">
        <v>15.81</v>
      </c>
      <c r="E122">
        <v>15.14</v>
      </c>
      <c r="F122">
        <v>20.11</v>
      </c>
      <c r="G122">
        <v>106.72</v>
      </c>
      <c r="H122">
        <v>20.89</v>
      </c>
      <c r="I122">
        <v>22.98</v>
      </c>
      <c r="J122">
        <v>37.520000000000003</v>
      </c>
    </row>
    <row r="123" spans="1:10" x14ac:dyDescent="0.45">
      <c r="A123" s="1">
        <v>44684</v>
      </c>
      <c r="B123">
        <v>158.4</v>
      </c>
      <c r="C123">
        <v>140.03</v>
      </c>
      <c r="D123">
        <v>15.39</v>
      </c>
      <c r="E123">
        <v>14.7</v>
      </c>
      <c r="F123">
        <v>19.510000000000002</v>
      </c>
      <c r="G123">
        <v>104.12</v>
      </c>
      <c r="H123">
        <v>20.350000000000001</v>
      </c>
      <c r="I123">
        <v>22.8</v>
      </c>
      <c r="J123">
        <v>36.6</v>
      </c>
    </row>
    <row r="124" spans="1:10" x14ac:dyDescent="0.45">
      <c r="A124" s="1">
        <v>44683</v>
      </c>
      <c r="B124">
        <v>158.05000000000001</v>
      </c>
      <c r="C124">
        <v>140.13</v>
      </c>
      <c r="D124">
        <v>15.4</v>
      </c>
      <c r="E124">
        <v>14.64</v>
      </c>
      <c r="F124">
        <v>19.38</v>
      </c>
      <c r="G124">
        <v>103.45</v>
      </c>
      <c r="H124">
        <v>19.89</v>
      </c>
      <c r="I124">
        <v>22.8</v>
      </c>
      <c r="J124">
        <v>36.340000000000003</v>
      </c>
    </row>
    <row r="125" spans="1:10" x14ac:dyDescent="0.45">
      <c r="A125" s="1">
        <v>44680</v>
      </c>
      <c r="B125">
        <v>155.52000000000001</v>
      </c>
      <c r="C125">
        <v>137.65</v>
      </c>
      <c r="D125">
        <v>15.16</v>
      </c>
      <c r="E125">
        <v>14.55</v>
      </c>
      <c r="F125">
        <v>19.25</v>
      </c>
      <c r="G125">
        <v>104.34</v>
      </c>
      <c r="H125">
        <v>19.93</v>
      </c>
      <c r="I125">
        <v>22.82</v>
      </c>
      <c r="J125">
        <v>36.369999999999997</v>
      </c>
    </row>
    <row r="126" spans="1:10" x14ac:dyDescent="0.45">
      <c r="A126" s="1">
        <v>44679</v>
      </c>
      <c r="B126">
        <v>162.29</v>
      </c>
      <c r="C126">
        <v>143.85</v>
      </c>
      <c r="D126">
        <v>15.83</v>
      </c>
      <c r="E126">
        <v>15.1</v>
      </c>
      <c r="F126">
        <v>19.940000000000001</v>
      </c>
      <c r="G126">
        <v>107.24</v>
      </c>
      <c r="H126">
        <v>20.3</v>
      </c>
      <c r="I126">
        <v>23.26</v>
      </c>
      <c r="J126">
        <v>37.35</v>
      </c>
    </row>
    <row r="127" spans="1:10" x14ac:dyDescent="0.45">
      <c r="A127" s="1">
        <v>44678</v>
      </c>
      <c r="B127">
        <v>157.44999999999999</v>
      </c>
      <c r="C127">
        <v>138.52000000000001</v>
      </c>
      <c r="D127">
        <v>15.28</v>
      </c>
      <c r="E127">
        <v>14.73</v>
      </c>
      <c r="F127">
        <v>19.43</v>
      </c>
      <c r="G127">
        <v>105.99</v>
      </c>
      <c r="H127">
        <v>20.04</v>
      </c>
      <c r="I127">
        <v>22.99</v>
      </c>
      <c r="J127">
        <v>36.94</v>
      </c>
    </row>
    <row r="128" spans="1:10" x14ac:dyDescent="0.45">
      <c r="A128" s="1">
        <v>44677</v>
      </c>
      <c r="B128">
        <v>157.47999999999999</v>
      </c>
      <c r="C128">
        <v>138.69</v>
      </c>
      <c r="D128">
        <v>15.31</v>
      </c>
      <c r="E128">
        <v>14.7</v>
      </c>
      <c r="F128">
        <v>19.39</v>
      </c>
      <c r="G128">
        <v>106.26</v>
      </c>
      <c r="H128">
        <v>19.600000000000001</v>
      </c>
      <c r="I128">
        <v>22.88</v>
      </c>
      <c r="J128">
        <v>36.909999999999997</v>
      </c>
    </row>
    <row r="129" spans="1:10" x14ac:dyDescent="0.45">
      <c r="A129" s="1">
        <v>44676</v>
      </c>
      <c r="B129">
        <v>163.96</v>
      </c>
      <c r="C129">
        <v>144.56</v>
      </c>
      <c r="D129">
        <v>15.86</v>
      </c>
      <c r="E129">
        <v>15.14</v>
      </c>
      <c r="F129">
        <v>19.940000000000001</v>
      </c>
      <c r="G129">
        <v>107.39</v>
      </c>
      <c r="H129">
        <v>19.88</v>
      </c>
      <c r="I129">
        <v>23.39</v>
      </c>
      <c r="J129">
        <v>37.659999999999997</v>
      </c>
    </row>
    <row r="130" spans="1:10" x14ac:dyDescent="0.45">
      <c r="A130" s="1">
        <v>44673</v>
      </c>
      <c r="B130">
        <v>161.88</v>
      </c>
      <c r="C130">
        <v>142.77000000000001</v>
      </c>
      <c r="D130">
        <v>15.66</v>
      </c>
      <c r="E130">
        <v>15.04</v>
      </c>
      <c r="F130">
        <v>19.84</v>
      </c>
      <c r="G130">
        <v>108.24</v>
      </c>
      <c r="H130">
        <v>20.440000000000001</v>
      </c>
      <c r="I130">
        <v>23.23</v>
      </c>
      <c r="J130">
        <v>37.65</v>
      </c>
    </row>
    <row r="131" spans="1:10" x14ac:dyDescent="0.45">
      <c r="A131" s="1">
        <v>44672</v>
      </c>
      <c r="B131">
        <v>166.11</v>
      </c>
      <c r="C131">
        <v>146.85</v>
      </c>
      <c r="D131">
        <v>16.04</v>
      </c>
      <c r="E131">
        <v>15.47</v>
      </c>
      <c r="F131">
        <v>20.38</v>
      </c>
      <c r="G131">
        <v>110.2</v>
      </c>
      <c r="H131">
        <v>21.19</v>
      </c>
      <c r="I131">
        <v>23.74</v>
      </c>
      <c r="J131">
        <v>38.53</v>
      </c>
    </row>
    <row r="132" spans="1:10" x14ac:dyDescent="0.45">
      <c r="A132" s="1">
        <v>44671</v>
      </c>
      <c r="B132">
        <v>169.62</v>
      </c>
      <c r="C132">
        <v>150.94999999999999</v>
      </c>
      <c r="D132">
        <v>16.440000000000001</v>
      </c>
      <c r="E132">
        <v>15.72</v>
      </c>
      <c r="F132">
        <v>20.7</v>
      </c>
      <c r="G132">
        <v>112.45</v>
      </c>
      <c r="H132">
        <v>22.17</v>
      </c>
      <c r="I132">
        <v>24.08</v>
      </c>
      <c r="J132">
        <v>38.97</v>
      </c>
    </row>
    <row r="133" spans="1:10" x14ac:dyDescent="0.45">
      <c r="A133" s="1">
        <v>44670</v>
      </c>
      <c r="B133">
        <v>171.71</v>
      </c>
      <c r="C133">
        <v>153.81</v>
      </c>
      <c r="D133">
        <v>16.7</v>
      </c>
      <c r="E133">
        <v>15.74</v>
      </c>
      <c r="F133">
        <v>20.68</v>
      </c>
      <c r="G133">
        <v>111.49</v>
      </c>
      <c r="H133">
        <v>22.11</v>
      </c>
      <c r="I133">
        <v>24.05</v>
      </c>
      <c r="J133">
        <v>38.6</v>
      </c>
    </row>
    <row r="134" spans="1:10" x14ac:dyDescent="0.45">
      <c r="A134" s="1">
        <v>44669</v>
      </c>
      <c r="B134">
        <v>168.09</v>
      </c>
      <c r="C134">
        <v>150.19</v>
      </c>
      <c r="D134">
        <v>16.36</v>
      </c>
      <c r="E134">
        <v>15.48</v>
      </c>
      <c r="F134">
        <v>20.37</v>
      </c>
      <c r="G134">
        <v>110.8</v>
      </c>
      <c r="H134">
        <v>22.3</v>
      </c>
      <c r="I134">
        <v>24.07</v>
      </c>
      <c r="J134">
        <v>38.28</v>
      </c>
    </row>
    <row r="135" spans="1:10" x14ac:dyDescent="0.45">
      <c r="A135" s="1">
        <v>44665</v>
      </c>
      <c r="B135">
        <v>168.32</v>
      </c>
      <c r="C135">
        <v>150.36000000000001</v>
      </c>
      <c r="D135">
        <v>16.36</v>
      </c>
      <c r="E135">
        <v>15.5</v>
      </c>
      <c r="F135">
        <v>20.34</v>
      </c>
      <c r="G135">
        <v>111.06</v>
      </c>
      <c r="H135">
        <v>22.06</v>
      </c>
      <c r="I135">
        <v>24.43</v>
      </c>
      <c r="J135">
        <v>38.31</v>
      </c>
    </row>
    <row r="136" spans="1:10" x14ac:dyDescent="0.45">
      <c r="A136" s="1">
        <v>44664</v>
      </c>
      <c r="B136">
        <v>172.02</v>
      </c>
      <c r="C136">
        <v>153.49</v>
      </c>
      <c r="D136">
        <v>16.72</v>
      </c>
      <c r="E136">
        <v>15.7</v>
      </c>
      <c r="F136">
        <v>20.57</v>
      </c>
      <c r="G136">
        <v>111.28</v>
      </c>
      <c r="H136">
        <v>21.99</v>
      </c>
      <c r="I136">
        <v>24.55</v>
      </c>
      <c r="J136">
        <v>38.51</v>
      </c>
    </row>
    <row r="137" spans="1:10" x14ac:dyDescent="0.45">
      <c r="A137" s="1">
        <v>44663</v>
      </c>
      <c r="B137">
        <v>168.6</v>
      </c>
      <c r="C137">
        <v>149.85</v>
      </c>
      <c r="D137">
        <v>16.399999999999999</v>
      </c>
      <c r="E137">
        <v>15.51</v>
      </c>
      <c r="F137">
        <v>20.329999999999998</v>
      </c>
      <c r="G137">
        <v>110.99</v>
      </c>
      <c r="H137">
        <v>21.65</v>
      </c>
      <c r="I137">
        <v>24.3</v>
      </c>
      <c r="J137">
        <v>38.25</v>
      </c>
    </row>
    <row r="138" spans="1:10" x14ac:dyDescent="0.45">
      <c r="A138" s="1">
        <v>44662</v>
      </c>
      <c r="B138">
        <v>169.12</v>
      </c>
      <c r="C138">
        <v>150.18</v>
      </c>
      <c r="D138">
        <v>16.47</v>
      </c>
      <c r="E138">
        <v>15.56</v>
      </c>
      <c r="F138">
        <v>20.36</v>
      </c>
      <c r="G138">
        <v>110.52</v>
      </c>
      <c r="H138">
        <v>21.42</v>
      </c>
      <c r="I138">
        <v>24.58</v>
      </c>
      <c r="J138">
        <v>38.380000000000003</v>
      </c>
    </row>
    <row r="139" spans="1:10" x14ac:dyDescent="0.45">
      <c r="A139" s="1">
        <v>44659</v>
      </c>
      <c r="B139">
        <v>172.9</v>
      </c>
      <c r="C139">
        <v>153.4</v>
      </c>
      <c r="D139">
        <v>16.87</v>
      </c>
      <c r="E139">
        <v>15.83</v>
      </c>
      <c r="F139">
        <v>20.7</v>
      </c>
      <c r="G139">
        <v>112.55</v>
      </c>
      <c r="H139">
        <v>21.73</v>
      </c>
      <c r="I139">
        <v>24.81</v>
      </c>
      <c r="J139">
        <v>38.729999999999997</v>
      </c>
    </row>
    <row r="140" spans="1:10" x14ac:dyDescent="0.45">
      <c r="A140" s="1">
        <v>44658</v>
      </c>
      <c r="B140">
        <v>175.24</v>
      </c>
      <c r="C140">
        <v>155.46</v>
      </c>
      <c r="D140">
        <v>17.07</v>
      </c>
      <c r="E140">
        <v>15.88</v>
      </c>
      <c r="F140">
        <v>20.72</v>
      </c>
      <c r="G140">
        <v>114.33</v>
      </c>
      <c r="H140">
        <v>21.36</v>
      </c>
      <c r="I140">
        <v>24.97</v>
      </c>
      <c r="J140">
        <v>38.479999999999997</v>
      </c>
    </row>
    <row r="141" spans="1:10" x14ac:dyDescent="0.45">
      <c r="A141" s="1">
        <v>44657</v>
      </c>
      <c r="B141">
        <v>175.12</v>
      </c>
      <c r="C141">
        <v>155.65</v>
      </c>
      <c r="D141">
        <v>17.100000000000001</v>
      </c>
      <c r="E141">
        <v>15.81</v>
      </c>
      <c r="F141">
        <v>20.6</v>
      </c>
      <c r="G141">
        <v>114.35</v>
      </c>
      <c r="H141">
        <v>21.11</v>
      </c>
      <c r="I141">
        <v>24.58</v>
      </c>
      <c r="J141">
        <v>38.29</v>
      </c>
    </row>
    <row r="142" spans="1:10" x14ac:dyDescent="0.45">
      <c r="A142" s="1">
        <v>44656</v>
      </c>
      <c r="B142">
        <v>179.09</v>
      </c>
      <c r="C142">
        <v>160.12</v>
      </c>
      <c r="D142">
        <v>17.53</v>
      </c>
      <c r="E142">
        <v>15.99</v>
      </c>
      <c r="F142">
        <v>20.82</v>
      </c>
      <c r="G142">
        <v>112.68</v>
      </c>
      <c r="H142">
        <v>21.12</v>
      </c>
      <c r="I142">
        <v>24.2</v>
      </c>
      <c r="J142">
        <v>38.22</v>
      </c>
    </row>
    <row r="143" spans="1:10" x14ac:dyDescent="0.45">
      <c r="A143" s="1">
        <v>44655</v>
      </c>
      <c r="B143">
        <v>183.14</v>
      </c>
      <c r="C143">
        <v>164.51</v>
      </c>
      <c r="D143">
        <v>17.920000000000002</v>
      </c>
      <c r="E143">
        <v>16.2</v>
      </c>
      <c r="F143">
        <v>21.09</v>
      </c>
      <c r="G143">
        <v>112.3</v>
      </c>
      <c r="H143">
        <v>21.39</v>
      </c>
      <c r="I143">
        <v>24.14</v>
      </c>
      <c r="J143">
        <v>38.39</v>
      </c>
    </row>
    <row r="144" spans="1:10" x14ac:dyDescent="0.45">
      <c r="A144" s="1">
        <v>44652</v>
      </c>
      <c r="B144">
        <v>179.73</v>
      </c>
      <c r="C144">
        <v>160.68</v>
      </c>
      <c r="D144">
        <v>17.48</v>
      </c>
      <c r="E144">
        <v>16.059999999999999</v>
      </c>
      <c r="F144">
        <v>20.92</v>
      </c>
      <c r="G144">
        <v>112.99</v>
      </c>
      <c r="H144">
        <v>21.37</v>
      </c>
      <c r="I144">
        <v>24.06</v>
      </c>
      <c r="J144">
        <v>38.47</v>
      </c>
    </row>
    <row r="145" spans="1:10" x14ac:dyDescent="0.45">
      <c r="A145" s="1">
        <v>44651</v>
      </c>
      <c r="B145">
        <v>179.22</v>
      </c>
      <c r="C145">
        <v>160.35</v>
      </c>
      <c r="D145">
        <v>17.37</v>
      </c>
      <c r="E145">
        <v>16</v>
      </c>
      <c r="F145">
        <v>20.86</v>
      </c>
      <c r="G145">
        <v>111.29</v>
      </c>
      <c r="H145">
        <v>21.13</v>
      </c>
      <c r="I145">
        <v>23.69</v>
      </c>
      <c r="J145">
        <v>38.14</v>
      </c>
    </row>
    <row r="146" spans="1:10" x14ac:dyDescent="0.45">
      <c r="A146" s="1">
        <v>44650</v>
      </c>
      <c r="B146">
        <v>182.01</v>
      </c>
      <c r="C146">
        <v>163.41999999999999</v>
      </c>
      <c r="D146">
        <v>17.68</v>
      </c>
      <c r="E146">
        <v>16.25</v>
      </c>
      <c r="F146">
        <v>21.19</v>
      </c>
      <c r="G146">
        <v>111.5</v>
      </c>
      <c r="H146">
        <v>21.25</v>
      </c>
      <c r="I146">
        <v>23.91</v>
      </c>
      <c r="J146">
        <v>38.799999999999997</v>
      </c>
    </row>
    <row r="147" spans="1:10" x14ac:dyDescent="0.45">
      <c r="A147" s="1">
        <v>44649</v>
      </c>
      <c r="B147">
        <v>184.24</v>
      </c>
      <c r="C147">
        <v>166.15</v>
      </c>
      <c r="D147">
        <v>17.89</v>
      </c>
      <c r="E147">
        <v>16.36</v>
      </c>
      <c r="F147">
        <v>21.33</v>
      </c>
      <c r="G147">
        <v>110.67</v>
      </c>
      <c r="H147">
        <v>20.96</v>
      </c>
      <c r="I147">
        <v>23.84</v>
      </c>
      <c r="J147">
        <v>38.869999999999997</v>
      </c>
    </row>
    <row r="148" spans="1:10" x14ac:dyDescent="0.45">
      <c r="A148" s="1">
        <v>44648</v>
      </c>
      <c r="B148">
        <v>180.9</v>
      </c>
      <c r="C148">
        <v>162.57</v>
      </c>
      <c r="D148">
        <v>17.52</v>
      </c>
      <c r="E148">
        <v>16.149999999999999</v>
      </c>
      <c r="F148">
        <v>21.08</v>
      </c>
      <c r="G148">
        <v>109.61</v>
      </c>
      <c r="H148">
        <v>21.32</v>
      </c>
      <c r="I148">
        <v>23.64</v>
      </c>
      <c r="J148">
        <v>38.53</v>
      </c>
    </row>
    <row r="149" spans="1:10" x14ac:dyDescent="0.45">
      <c r="A149" s="1">
        <v>44645</v>
      </c>
      <c r="B149">
        <v>178.56</v>
      </c>
      <c r="C149">
        <v>160.63</v>
      </c>
      <c r="D149">
        <v>17.309999999999999</v>
      </c>
      <c r="E149">
        <v>16.02</v>
      </c>
      <c r="F149">
        <v>20.98</v>
      </c>
      <c r="G149">
        <v>108.78</v>
      </c>
      <c r="H149">
        <v>21.73</v>
      </c>
      <c r="I149">
        <v>23.58</v>
      </c>
      <c r="J149">
        <v>38.56</v>
      </c>
    </row>
    <row r="150" spans="1:10" x14ac:dyDescent="0.45">
      <c r="A150" s="1">
        <v>44644</v>
      </c>
      <c r="B150">
        <v>178.84</v>
      </c>
      <c r="C150">
        <v>161.37</v>
      </c>
      <c r="D150">
        <v>17.350000000000001</v>
      </c>
      <c r="E150">
        <v>15.96</v>
      </c>
      <c r="F150">
        <v>20.87</v>
      </c>
      <c r="G150">
        <v>107.16</v>
      </c>
      <c r="H150">
        <v>21.38</v>
      </c>
      <c r="I150">
        <v>23.64</v>
      </c>
      <c r="J150">
        <v>38.200000000000003</v>
      </c>
    </row>
    <row r="151" spans="1:10" x14ac:dyDescent="0.45">
      <c r="A151" s="1">
        <v>44643</v>
      </c>
      <c r="B151">
        <v>175.45</v>
      </c>
      <c r="C151">
        <v>157.75</v>
      </c>
      <c r="D151">
        <v>17.010000000000002</v>
      </c>
      <c r="E151">
        <v>15.72</v>
      </c>
      <c r="F151">
        <v>20.58</v>
      </c>
      <c r="G151">
        <v>105.81</v>
      </c>
      <c r="H151">
        <v>21.17</v>
      </c>
      <c r="I151">
        <v>23.39</v>
      </c>
      <c r="J151">
        <v>37.82</v>
      </c>
    </row>
    <row r="152" spans="1:10" x14ac:dyDescent="0.45">
      <c r="A152" s="1">
        <v>44642</v>
      </c>
      <c r="B152">
        <v>177.8</v>
      </c>
      <c r="C152">
        <v>159.86000000000001</v>
      </c>
      <c r="D152">
        <v>17.260000000000002</v>
      </c>
      <c r="E152">
        <v>15.92</v>
      </c>
      <c r="F152">
        <v>20.82</v>
      </c>
      <c r="G152">
        <v>105.93</v>
      </c>
      <c r="H152">
        <v>20.81</v>
      </c>
      <c r="I152">
        <v>23.52</v>
      </c>
      <c r="J152">
        <v>38.29</v>
      </c>
    </row>
    <row r="153" spans="1:10" x14ac:dyDescent="0.45">
      <c r="A153" s="1">
        <v>44641</v>
      </c>
      <c r="B153">
        <v>174.4</v>
      </c>
      <c r="C153">
        <v>156.85</v>
      </c>
      <c r="D153">
        <v>16.91</v>
      </c>
      <c r="E153">
        <v>15.73</v>
      </c>
      <c r="F153">
        <v>20.61</v>
      </c>
      <c r="G153">
        <v>105.31</v>
      </c>
      <c r="H153">
        <v>20.91</v>
      </c>
      <c r="I153">
        <v>23.41</v>
      </c>
      <c r="J153">
        <v>38.06</v>
      </c>
    </row>
    <row r="154" spans="1:10" x14ac:dyDescent="0.45">
      <c r="A154" s="1">
        <v>44638</v>
      </c>
      <c r="B154">
        <v>175.08</v>
      </c>
      <c r="C154">
        <v>157.91</v>
      </c>
      <c r="D154">
        <v>17.03</v>
      </c>
      <c r="E154">
        <v>15.75</v>
      </c>
      <c r="F154">
        <v>20.57</v>
      </c>
      <c r="G154">
        <v>104.88</v>
      </c>
      <c r="H154">
        <v>20.16</v>
      </c>
      <c r="I154">
        <v>23.6</v>
      </c>
      <c r="J154">
        <v>38.01</v>
      </c>
    </row>
    <row r="155" spans="1:10" x14ac:dyDescent="0.45">
      <c r="A155" s="1">
        <v>44637</v>
      </c>
      <c r="B155">
        <v>171.56</v>
      </c>
      <c r="C155">
        <v>153.99</v>
      </c>
      <c r="D155">
        <v>16.63</v>
      </c>
      <c r="E155">
        <v>15.55</v>
      </c>
      <c r="F155">
        <v>20.34</v>
      </c>
      <c r="G155">
        <v>105.68</v>
      </c>
      <c r="H155">
        <v>20.05</v>
      </c>
      <c r="I155">
        <v>23.45</v>
      </c>
      <c r="J155">
        <v>37.99</v>
      </c>
    </row>
    <row r="156" spans="1:10" x14ac:dyDescent="0.45">
      <c r="A156" s="1">
        <v>44636</v>
      </c>
      <c r="B156">
        <v>169.32</v>
      </c>
      <c r="C156">
        <v>151.41</v>
      </c>
      <c r="D156">
        <v>16.420000000000002</v>
      </c>
      <c r="E156">
        <v>15.35</v>
      </c>
      <c r="F156">
        <v>20.09</v>
      </c>
      <c r="G156">
        <v>105.37</v>
      </c>
      <c r="H156">
        <v>19.399999999999999</v>
      </c>
      <c r="I156">
        <v>22.98</v>
      </c>
      <c r="J156">
        <v>37.61</v>
      </c>
    </row>
    <row r="157" spans="1:10" x14ac:dyDescent="0.45">
      <c r="A157" s="1">
        <v>44635</v>
      </c>
      <c r="B157">
        <v>163.15</v>
      </c>
      <c r="C157">
        <v>145.19</v>
      </c>
      <c r="D157">
        <v>15.71</v>
      </c>
      <c r="E157">
        <v>15</v>
      </c>
      <c r="F157">
        <v>19.670000000000002</v>
      </c>
      <c r="G157">
        <v>105.03</v>
      </c>
      <c r="H157">
        <v>19.37</v>
      </c>
      <c r="I157">
        <v>22.64</v>
      </c>
      <c r="J157">
        <v>37.119999999999997</v>
      </c>
    </row>
    <row r="158" spans="1:10" x14ac:dyDescent="0.45">
      <c r="A158" s="1">
        <v>44634</v>
      </c>
      <c r="B158">
        <v>158.52000000000001</v>
      </c>
      <c r="C158">
        <v>140.54</v>
      </c>
      <c r="D158">
        <v>15.27</v>
      </c>
      <c r="E158">
        <v>14.68</v>
      </c>
      <c r="F158">
        <v>19.28</v>
      </c>
      <c r="G158">
        <v>103.6</v>
      </c>
      <c r="H158">
        <v>19.559999999999999</v>
      </c>
      <c r="I158">
        <v>22.31</v>
      </c>
      <c r="J158">
        <v>36.700000000000003</v>
      </c>
    </row>
    <row r="159" spans="1:10" x14ac:dyDescent="0.45">
      <c r="A159" s="1">
        <v>44631</v>
      </c>
      <c r="B159">
        <v>161.80000000000001</v>
      </c>
      <c r="C159">
        <v>143.96</v>
      </c>
      <c r="D159">
        <v>15.61</v>
      </c>
      <c r="E159">
        <v>14.8</v>
      </c>
      <c r="F159">
        <v>19.43</v>
      </c>
      <c r="G159">
        <v>103.52</v>
      </c>
      <c r="H159">
        <v>20.14</v>
      </c>
      <c r="I159">
        <v>22.28</v>
      </c>
      <c r="J159">
        <v>36.58</v>
      </c>
    </row>
    <row r="160" spans="1:10" x14ac:dyDescent="0.45">
      <c r="A160" s="1">
        <v>44630</v>
      </c>
      <c r="B160">
        <v>165.4</v>
      </c>
      <c r="C160">
        <v>147.30000000000001</v>
      </c>
      <c r="D160">
        <v>16.010000000000002</v>
      </c>
      <c r="E160">
        <v>15.01</v>
      </c>
      <c r="F160">
        <v>19.68</v>
      </c>
      <c r="G160">
        <v>104.23</v>
      </c>
      <c r="H160">
        <v>20.329999999999998</v>
      </c>
      <c r="I160">
        <v>22.43</v>
      </c>
      <c r="J160">
        <v>36.89</v>
      </c>
    </row>
    <row r="161" spans="1:10" x14ac:dyDescent="0.45">
      <c r="A161" s="1">
        <v>44629</v>
      </c>
      <c r="B161">
        <v>166.98</v>
      </c>
      <c r="C161">
        <v>148.18</v>
      </c>
      <c r="D161">
        <v>16.190000000000001</v>
      </c>
      <c r="E161">
        <v>15.08</v>
      </c>
      <c r="F161">
        <v>19.75</v>
      </c>
      <c r="G161">
        <v>103.69</v>
      </c>
      <c r="H161">
        <v>19.8</v>
      </c>
      <c r="I161">
        <v>22.49</v>
      </c>
      <c r="J161">
        <v>37.03</v>
      </c>
    </row>
    <row r="162" spans="1:10" x14ac:dyDescent="0.45">
      <c r="A162" s="1">
        <v>44628</v>
      </c>
      <c r="B162">
        <v>161.16999999999999</v>
      </c>
      <c r="C162">
        <v>142.44999999999999</v>
      </c>
      <c r="D162">
        <v>15.53</v>
      </c>
      <c r="E162">
        <v>14.68</v>
      </c>
      <c r="F162">
        <v>19.28</v>
      </c>
      <c r="G162">
        <v>104.17</v>
      </c>
      <c r="H162">
        <v>19.93</v>
      </c>
      <c r="I162">
        <v>21.81</v>
      </c>
      <c r="J162">
        <v>36.31</v>
      </c>
    </row>
    <row r="163" spans="1:10" x14ac:dyDescent="0.45">
      <c r="A163" s="1">
        <v>44627</v>
      </c>
      <c r="B163">
        <v>161.55000000000001</v>
      </c>
      <c r="C163">
        <v>141.65</v>
      </c>
      <c r="D163">
        <v>15.52</v>
      </c>
      <c r="E163">
        <v>14.79</v>
      </c>
      <c r="F163">
        <v>19.399999999999999</v>
      </c>
      <c r="G163">
        <v>105.06</v>
      </c>
      <c r="H163">
        <v>20.07</v>
      </c>
      <c r="I163">
        <v>21.84</v>
      </c>
      <c r="J163">
        <v>36.54</v>
      </c>
    </row>
    <row r="164" spans="1:10" x14ac:dyDescent="0.45">
      <c r="A164" s="1">
        <v>44624</v>
      </c>
      <c r="B164">
        <v>167.62</v>
      </c>
      <c r="C164">
        <v>148.31</v>
      </c>
      <c r="D164">
        <v>16.18</v>
      </c>
      <c r="E164">
        <v>15.25</v>
      </c>
      <c r="F164">
        <v>19.97</v>
      </c>
      <c r="G164">
        <v>104.05</v>
      </c>
      <c r="H164">
        <v>19.989999999999998</v>
      </c>
      <c r="I164">
        <v>22.12</v>
      </c>
      <c r="J164">
        <v>37.380000000000003</v>
      </c>
    </row>
    <row r="165" spans="1:10" x14ac:dyDescent="0.45">
      <c r="A165" s="1">
        <v>44623</v>
      </c>
      <c r="B165">
        <v>170.44</v>
      </c>
      <c r="C165">
        <v>152.13999999999999</v>
      </c>
      <c r="D165">
        <v>16.54</v>
      </c>
      <c r="E165">
        <v>15.38</v>
      </c>
      <c r="F165">
        <v>20.100000000000001</v>
      </c>
      <c r="G165">
        <v>102.37</v>
      </c>
      <c r="H165">
        <v>19.62</v>
      </c>
      <c r="I165">
        <v>22.39</v>
      </c>
      <c r="J165">
        <v>37.630000000000003</v>
      </c>
    </row>
    <row r="166" spans="1:10" x14ac:dyDescent="0.45">
      <c r="A166" s="1">
        <v>44622</v>
      </c>
      <c r="B166">
        <v>173.12</v>
      </c>
      <c r="C166">
        <v>155.74</v>
      </c>
      <c r="D166">
        <v>16.850000000000001</v>
      </c>
      <c r="E166">
        <v>15.49</v>
      </c>
      <c r="F166">
        <v>20.2</v>
      </c>
      <c r="G166">
        <v>101.08</v>
      </c>
      <c r="H166">
        <v>19.52</v>
      </c>
      <c r="I166">
        <v>22.61</v>
      </c>
      <c r="J166">
        <v>37.700000000000003</v>
      </c>
    </row>
    <row r="167" spans="1:10" x14ac:dyDescent="0.45">
      <c r="A167" s="1">
        <v>44621</v>
      </c>
      <c r="B167">
        <v>170.37</v>
      </c>
      <c r="C167">
        <v>153.19999999999999</v>
      </c>
      <c r="D167">
        <v>16.62</v>
      </c>
      <c r="E167">
        <v>15.21</v>
      </c>
      <c r="F167">
        <v>19.809999999999999</v>
      </c>
      <c r="G167">
        <v>99.71</v>
      </c>
      <c r="H167">
        <v>18.98</v>
      </c>
      <c r="I167">
        <v>22.46</v>
      </c>
      <c r="J167">
        <v>37.06</v>
      </c>
    </row>
    <row r="168" spans="1:10" x14ac:dyDescent="0.45">
      <c r="A168" s="1">
        <v>44620</v>
      </c>
      <c r="B168">
        <v>173.13</v>
      </c>
      <c r="C168">
        <v>156.47999999999999</v>
      </c>
      <c r="D168">
        <v>16.920000000000002</v>
      </c>
      <c r="E168">
        <v>15.44</v>
      </c>
      <c r="F168">
        <v>20.09</v>
      </c>
      <c r="G168">
        <v>100.38</v>
      </c>
      <c r="H168">
        <v>18.87</v>
      </c>
      <c r="I168">
        <v>22.53</v>
      </c>
      <c r="J168">
        <v>37.630000000000003</v>
      </c>
    </row>
    <row r="169" spans="1:10" x14ac:dyDescent="0.45">
      <c r="A169" s="1">
        <v>44617</v>
      </c>
      <c r="B169">
        <v>172.41</v>
      </c>
      <c r="C169">
        <v>155.43</v>
      </c>
      <c r="D169">
        <v>16.87</v>
      </c>
      <c r="E169">
        <v>15.47</v>
      </c>
      <c r="F169">
        <v>20.12</v>
      </c>
      <c r="G169">
        <v>99.29</v>
      </c>
      <c r="H169">
        <v>18.670000000000002</v>
      </c>
      <c r="I169">
        <v>22.54</v>
      </c>
      <c r="J169">
        <v>37.75</v>
      </c>
    </row>
    <row r="170" spans="1:10" x14ac:dyDescent="0.45">
      <c r="A170" s="1">
        <v>44616</v>
      </c>
      <c r="B170">
        <v>169.64</v>
      </c>
      <c r="C170">
        <v>152.83000000000001</v>
      </c>
      <c r="D170">
        <v>16.63</v>
      </c>
      <c r="E170">
        <v>15.14</v>
      </c>
      <c r="F170">
        <v>19.690000000000001</v>
      </c>
      <c r="G170">
        <v>96.5</v>
      </c>
      <c r="H170">
        <v>18.05</v>
      </c>
      <c r="I170">
        <v>21.92</v>
      </c>
      <c r="J170">
        <v>36.65</v>
      </c>
    </row>
    <row r="171" spans="1:10" x14ac:dyDescent="0.45">
      <c r="A171" s="1">
        <v>44615</v>
      </c>
      <c r="B171">
        <v>164.12</v>
      </c>
      <c r="C171">
        <v>147.16</v>
      </c>
      <c r="D171">
        <v>16.100000000000001</v>
      </c>
      <c r="E171">
        <v>14.89</v>
      </c>
      <c r="F171">
        <v>19.440000000000001</v>
      </c>
      <c r="G171">
        <v>95.02</v>
      </c>
      <c r="H171">
        <v>18.079999999999998</v>
      </c>
      <c r="I171">
        <v>21.9</v>
      </c>
      <c r="J171">
        <v>36.76</v>
      </c>
    </row>
    <row r="172" spans="1:10" x14ac:dyDescent="0.45">
      <c r="A172" s="1">
        <v>44614</v>
      </c>
      <c r="B172">
        <v>168.45</v>
      </c>
      <c r="C172">
        <v>151.13999999999999</v>
      </c>
      <c r="D172">
        <v>16.510000000000002</v>
      </c>
      <c r="E172">
        <v>15.17</v>
      </c>
      <c r="F172">
        <v>19.79</v>
      </c>
      <c r="G172">
        <v>96.87</v>
      </c>
      <c r="H172">
        <v>18.03</v>
      </c>
      <c r="I172">
        <v>22.03</v>
      </c>
      <c r="J172">
        <v>37.229999999999997</v>
      </c>
    </row>
    <row r="173" spans="1:10" x14ac:dyDescent="0.45">
      <c r="A173" s="1">
        <v>44610</v>
      </c>
      <c r="B173">
        <v>170.54</v>
      </c>
      <c r="C173">
        <v>153.62</v>
      </c>
      <c r="D173">
        <v>16.739999999999998</v>
      </c>
      <c r="E173">
        <v>15.33</v>
      </c>
      <c r="F173">
        <v>20.010000000000002</v>
      </c>
      <c r="G173">
        <v>97.16</v>
      </c>
      <c r="H173">
        <v>18.18</v>
      </c>
      <c r="I173">
        <v>22.1</v>
      </c>
      <c r="J173">
        <v>37.479999999999997</v>
      </c>
    </row>
    <row r="174" spans="1:10" x14ac:dyDescent="0.45">
      <c r="A174" s="1">
        <v>44609</v>
      </c>
      <c r="B174">
        <v>172.61</v>
      </c>
      <c r="C174">
        <v>156.08000000000001</v>
      </c>
      <c r="D174">
        <v>16.989999999999998</v>
      </c>
      <c r="E174">
        <v>15.45</v>
      </c>
      <c r="F174">
        <v>20.149999999999999</v>
      </c>
      <c r="G174">
        <v>97.75</v>
      </c>
      <c r="H174">
        <v>18.329999999999998</v>
      </c>
      <c r="I174">
        <v>22.28</v>
      </c>
      <c r="J174">
        <v>37.630000000000003</v>
      </c>
    </row>
    <row r="175" spans="1:10" x14ac:dyDescent="0.45">
      <c r="A175" s="1">
        <v>44608</v>
      </c>
      <c r="B175">
        <v>177.82</v>
      </c>
      <c r="C175">
        <v>161.80000000000001</v>
      </c>
      <c r="D175">
        <v>17.54</v>
      </c>
      <c r="E175">
        <v>15.8</v>
      </c>
      <c r="F175">
        <v>20.58</v>
      </c>
      <c r="G175">
        <v>98.08</v>
      </c>
      <c r="H175">
        <v>18.39</v>
      </c>
      <c r="I175">
        <v>22.59</v>
      </c>
      <c r="J175">
        <v>38.11</v>
      </c>
    </row>
    <row r="176" spans="1:10" x14ac:dyDescent="0.45">
      <c r="A176" s="1">
        <v>44607</v>
      </c>
      <c r="B176">
        <v>177.97</v>
      </c>
      <c r="C176">
        <v>162.57</v>
      </c>
      <c r="D176">
        <v>17.600000000000001</v>
      </c>
      <c r="E176">
        <v>15.8</v>
      </c>
      <c r="F176">
        <v>20.55</v>
      </c>
      <c r="G176">
        <v>97.59</v>
      </c>
      <c r="H176">
        <v>18.170000000000002</v>
      </c>
      <c r="I176">
        <v>22.54</v>
      </c>
      <c r="J176">
        <v>37.96</v>
      </c>
    </row>
    <row r="177" spans="1:10" x14ac:dyDescent="0.45">
      <c r="A177" s="1">
        <v>44606</v>
      </c>
      <c r="B177">
        <v>173.58</v>
      </c>
      <c r="C177">
        <v>157.47999999999999</v>
      </c>
      <c r="D177">
        <v>17.149999999999999</v>
      </c>
      <c r="E177">
        <v>15.54</v>
      </c>
      <c r="F177">
        <v>20.260000000000002</v>
      </c>
      <c r="G177">
        <v>97.81</v>
      </c>
      <c r="H177">
        <v>18.2</v>
      </c>
      <c r="I177">
        <v>21.96</v>
      </c>
      <c r="J177">
        <v>37.590000000000003</v>
      </c>
    </row>
    <row r="178" spans="1:10" x14ac:dyDescent="0.45">
      <c r="A178" s="1">
        <v>44603</v>
      </c>
      <c r="B178">
        <v>173.56</v>
      </c>
      <c r="C178">
        <v>157.69999999999999</v>
      </c>
      <c r="D178">
        <v>17.149999999999999</v>
      </c>
      <c r="E178">
        <v>15.6</v>
      </c>
      <c r="F178">
        <v>20.350000000000001</v>
      </c>
      <c r="G178">
        <v>98.51</v>
      </c>
      <c r="H178">
        <v>18.45</v>
      </c>
      <c r="I178">
        <v>22.16</v>
      </c>
      <c r="J178">
        <v>37.89</v>
      </c>
    </row>
    <row r="179" spans="1:10" x14ac:dyDescent="0.45">
      <c r="A179" s="1">
        <v>44602</v>
      </c>
      <c r="B179">
        <v>178.52</v>
      </c>
      <c r="C179">
        <v>163.29</v>
      </c>
      <c r="D179">
        <v>17.68</v>
      </c>
      <c r="E179">
        <v>15.91</v>
      </c>
      <c r="F179">
        <v>20.71</v>
      </c>
      <c r="G179">
        <v>98.72</v>
      </c>
      <c r="H179">
        <v>18.2</v>
      </c>
      <c r="I179">
        <v>22.37</v>
      </c>
      <c r="J179">
        <v>38.21</v>
      </c>
    </row>
    <row r="180" spans="1:10" x14ac:dyDescent="0.45">
      <c r="A180" s="1">
        <v>44601</v>
      </c>
      <c r="B180">
        <v>182.36</v>
      </c>
      <c r="C180">
        <v>166.77</v>
      </c>
      <c r="D180">
        <v>18.05</v>
      </c>
      <c r="E180">
        <v>16.2</v>
      </c>
      <c r="F180">
        <v>21.09</v>
      </c>
      <c r="G180">
        <v>101.17</v>
      </c>
      <c r="H180">
        <v>18.23</v>
      </c>
      <c r="I180">
        <v>22.57</v>
      </c>
      <c r="J180">
        <v>38.76</v>
      </c>
    </row>
    <row r="181" spans="1:10" x14ac:dyDescent="0.45">
      <c r="A181" s="1">
        <v>44600</v>
      </c>
      <c r="B181">
        <v>178.64</v>
      </c>
      <c r="C181">
        <v>162.52000000000001</v>
      </c>
      <c r="D181">
        <v>17.66</v>
      </c>
      <c r="E181">
        <v>15.95</v>
      </c>
      <c r="F181">
        <v>20.8</v>
      </c>
      <c r="G181">
        <v>100.42</v>
      </c>
      <c r="H181">
        <v>18</v>
      </c>
      <c r="I181">
        <v>22.26</v>
      </c>
      <c r="J181">
        <v>38.369999999999997</v>
      </c>
    </row>
    <row r="182" spans="1:10" x14ac:dyDescent="0.45">
      <c r="A182" s="1">
        <v>44599</v>
      </c>
      <c r="B182">
        <v>176.39</v>
      </c>
      <c r="C182">
        <v>159.94999999999999</v>
      </c>
      <c r="D182">
        <v>17.45</v>
      </c>
      <c r="E182">
        <v>15.82</v>
      </c>
      <c r="F182">
        <v>20.62</v>
      </c>
      <c r="G182">
        <v>100.17</v>
      </c>
      <c r="H182">
        <v>17.920000000000002</v>
      </c>
      <c r="I182">
        <v>22.38</v>
      </c>
      <c r="J182">
        <v>38.01</v>
      </c>
    </row>
    <row r="183" spans="1:10" x14ac:dyDescent="0.45">
      <c r="A183" s="1">
        <v>44596</v>
      </c>
      <c r="B183">
        <v>177.44</v>
      </c>
      <c r="C183">
        <v>160.61000000000001</v>
      </c>
      <c r="D183">
        <v>17.59</v>
      </c>
      <c r="E183">
        <v>15.88</v>
      </c>
      <c r="F183">
        <v>20.7</v>
      </c>
      <c r="G183">
        <v>100.53</v>
      </c>
      <c r="H183">
        <v>17.78</v>
      </c>
      <c r="I183">
        <v>22.2</v>
      </c>
      <c r="J183">
        <v>37.93</v>
      </c>
    </row>
    <row r="184" spans="1:10" x14ac:dyDescent="0.45">
      <c r="A184" s="1">
        <v>44595</v>
      </c>
      <c r="B184">
        <v>174.64</v>
      </c>
      <c r="C184">
        <v>156.66</v>
      </c>
      <c r="D184">
        <v>17.190000000000001</v>
      </c>
      <c r="E184">
        <v>15.77</v>
      </c>
      <c r="F184">
        <v>20.58</v>
      </c>
      <c r="G184">
        <v>101.19</v>
      </c>
      <c r="H184">
        <v>17.579999999999998</v>
      </c>
      <c r="I184">
        <v>22.23</v>
      </c>
      <c r="J184">
        <v>37.97</v>
      </c>
    </row>
    <row r="185" spans="1:10" x14ac:dyDescent="0.45">
      <c r="A185" s="1">
        <v>44594</v>
      </c>
      <c r="B185">
        <v>181.42</v>
      </c>
      <c r="C185">
        <v>164.57</v>
      </c>
      <c r="D185">
        <v>18</v>
      </c>
      <c r="E185">
        <v>16.18</v>
      </c>
      <c r="F185">
        <v>21.11</v>
      </c>
      <c r="G185">
        <v>101.8</v>
      </c>
      <c r="H185">
        <v>17.75</v>
      </c>
      <c r="I185">
        <v>22.64</v>
      </c>
      <c r="J185">
        <v>38.35</v>
      </c>
    </row>
    <row r="186" spans="1:10" x14ac:dyDescent="0.45">
      <c r="A186" s="1">
        <v>44593</v>
      </c>
      <c r="B186">
        <v>180.51</v>
      </c>
      <c r="C186">
        <v>164.76</v>
      </c>
      <c r="D186">
        <v>17.89</v>
      </c>
      <c r="E186">
        <v>16.05</v>
      </c>
      <c r="F186">
        <v>20.89</v>
      </c>
      <c r="G186">
        <v>100.22</v>
      </c>
      <c r="H186">
        <v>17.649999999999999</v>
      </c>
      <c r="I186">
        <v>22.58</v>
      </c>
      <c r="J186">
        <v>37.909999999999997</v>
      </c>
    </row>
    <row r="187" spans="1:10" x14ac:dyDescent="0.45">
      <c r="A187" s="1">
        <v>44592</v>
      </c>
      <c r="B187">
        <v>179.19</v>
      </c>
      <c r="C187">
        <v>162.68</v>
      </c>
      <c r="D187">
        <v>17.72</v>
      </c>
      <c r="E187">
        <v>15.93</v>
      </c>
      <c r="F187">
        <v>20.73</v>
      </c>
      <c r="G187">
        <v>101.49</v>
      </c>
      <c r="H187">
        <v>17.100000000000001</v>
      </c>
      <c r="I187">
        <v>22.43</v>
      </c>
      <c r="J187">
        <v>37.700000000000003</v>
      </c>
    </row>
    <row r="188" spans="1:10" x14ac:dyDescent="0.45">
      <c r="A188" s="1">
        <v>44589</v>
      </c>
      <c r="B188">
        <v>173.29</v>
      </c>
      <c r="C188">
        <v>156.13</v>
      </c>
      <c r="D188">
        <v>17.12</v>
      </c>
      <c r="E188">
        <v>15.61</v>
      </c>
      <c r="F188">
        <v>20.37</v>
      </c>
      <c r="G188">
        <v>99.61</v>
      </c>
      <c r="H188">
        <v>16.989999999999998</v>
      </c>
      <c r="I188">
        <v>22.23</v>
      </c>
      <c r="J188">
        <v>37.450000000000003</v>
      </c>
    </row>
    <row r="189" spans="1:10" x14ac:dyDescent="0.45">
      <c r="A189" s="1">
        <v>44588</v>
      </c>
      <c r="B189">
        <v>168.02</v>
      </c>
      <c r="C189">
        <v>151.13999999999999</v>
      </c>
      <c r="D189">
        <v>16.57</v>
      </c>
      <c r="E189">
        <v>15.22</v>
      </c>
      <c r="F189">
        <v>19.87</v>
      </c>
      <c r="G189">
        <v>98.38</v>
      </c>
      <c r="H189">
        <v>17.02</v>
      </c>
      <c r="I189">
        <v>21.89</v>
      </c>
      <c r="J189">
        <v>36.94</v>
      </c>
    </row>
    <row r="190" spans="1:10" x14ac:dyDescent="0.45">
      <c r="A190" s="1">
        <v>44587</v>
      </c>
      <c r="B190">
        <v>170.4</v>
      </c>
      <c r="C190">
        <v>153.57</v>
      </c>
      <c r="D190">
        <v>16.690000000000001</v>
      </c>
      <c r="E190">
        <v>15.31</v>
      </c>
      <c r="F190">
        <v>19.98</v>
      </c>
      <c r="G190">
        <v>97.95</v>
      </c>
      <c r="H190">
        <v>16.989999999999998</v>
      </c>
      <c r="I190">
        <v>21.75</v>
      </c>
      <c r="J190">
        <v>37.04</v>
      </c>
    </row>
    <row r="191" spans="1:10" x14ac:dyDescent="0.45">
      <c r="A191" s="1">
        <v>44586</v>
      </c>
      <c r="B191">
        <v>170.37</v>
      </c>
      <c r="C191">
        <v>153.94</v>
      </c>
      <c r="D191">
        <v>16.71</v>
      </c>
      <c r="E191">
        <v>15.33</v>
      </c>
      <c r="F191">
        <v>20.010000000000002</v>
      </c>
      <c r="G191">
        <v>98.4</v>
      </c>
      <c r="H191">
        <v>17.02</v>
      </c>
      <c r="I191">
        <v>21.86</v>
      </c>
      <c r="J191">
        <v>37.22</v>
      </c>
    </row>
    <row r="192" spans="1:10" x14ac:dyDescent="0.45">
      <c r="A192" s="1">
        <v>44585</v>
      </c>
      <c r="B192">
        <v>174.35</v>
      </c>
      <c r="C192">
        <v>157.99</v>
      </c>
      <c r="D192">
        <v>17.18</v>
      </c>
      <c r="E192">
        <v>15.54</v>
      </c>
      <c r="F192">
        <v>20.22</v>
      </c>
      <c r="G192">
        <v>99.95</v>
      </c>
      <c r="H192">
        <v>16.77</v>
      </c>
      <c r="I192">
        <v>21.85</v>
      </c>
      <c r="J192">
        <v>37.450000000000003</v>
      </c>
    </row>
    <row r="193" spans="1:10" x14ac:dyDescent="0.45">
      <c r="A193" s="1">
        <v>44582</v>
      </c>
      <c r="B193">
        <v>173.26</v>
      </c>
      <c r="C193">
        <v>156.63999999999999</v>
      </c>
      <c r="D193">
        <v>17.100000000000001</v>
      </c>
      <c r="E193">
        <v>15.49</v>
      </c>
      <c r="F193">
        <v>20.12</v>
      </c>
      <c r="G193">
        <v>100.86</v>
      </c>
      <c r="H193">
        <v>16.86</v>
      </c>
      <c r="I193">
        <v>22.08</v>
      </c>
      <c r="J193">
        <v>37.39</v>
      </c>
    </row>
    <row r="194" spans="1:10" x14ac:dyDescent="0.45">
      <c r="A194" s="1">
        <v>44581</v>
      </c>
      <c r="B194">
        <v>178.1</v>
      </c>
      <c r="C194">
        <v>161.66999999999999</v>
      </c>
      <c r="D194">
        <v>17.670000000000002</v>
      </c>
      <c r="E194">
        <v>15.8</v>
      </c>
      <c r="F194">
        <v>20.48</v>
      </c>
      <c r="G194">
        <v>101.42</v>
      </c>
      <c r="H194">
        <v>17.28</v>
      </c>
      <c r="I194">
        <v>22.32</v>
      </c>
      <c r="J194">
        <v>37.880000000000003</v>
      </c>
    </row>
    <row r="195" spans="1:10" x14ac:dyDescent="0.45">
      <c r="A195" s="1">
        <v>44580</v>
      </c>
      <c r="B195">
        <v>180.44</v>
      </c>
      <c r="C195">
        <v>164.2</v>
      </c>
      <c r="D195">
        <v>17.87</v>
      </c>
      <c r="E195">
        <v>15.97</v>
      </c>
      <c r="F195">
        <v>20.72</v>
      </c>
      <c r="G195">
        <v>101.45</v>
      </c>
      <c r="H195">
        <v>17.59</v>
      </c>
      <c r="I195">
        <v>22.44</v>
      </c>
      <c r="J195">
        <v>38.130000000000003</v>
      </c>
    </row>
    <row r="196" spans="1:10" x14ac:dyDescent="0.45">
      <c r="A196" s="1">
        <v>44579</v>
      </c>
      <c r="B196">
        <v>182.53</v>
      </c>
      <c r="C196">
        <v>166.35</v>
      </c>
      <c r="D196">
        <v>18.010000000000002</v>
      </c>
      <c r="E196">
        <v>16.13</v>
      </c>
      <c r="F196">
        <v>20.92</v>
      </c>
      <c r="G196">
        <v>100.95</v>
      </c>
      <c r="H196">
        <v>17.489999999999998</v>
      </c>
      <c r="I196">
        <v>22.53</v>
      </c>
      <c r="J196">
        <v>38.32</v>
      </c>
    </row>
    <row r="197" spans="1:10" x14ac:dyDescent="0.45">
      <c r="A197" s="1">
        <v>44575</v>
      </c>
      <c r="B197">
        <v>187.4</v>
      </c>
      <c r="C197">
        <v>171.29</v>
      </c>
      <c r="D197">
        <v>18.48</v>
      </c>
      <c r="E197">
        <v>16.440000000000001</v>
      </c>
      <c r="F197">
        <v>21.29</v>
      </c>
      <c r="G197">
        <v>102.21</v>
      </c>
      <c r="H197">
        <v>17.52</v>
      </c>
      <c r="I197">
        <v>22.66</v>
      </c>
      <c r="J197">
        <v>38.840000000000003</v>
      </c>
    </row>
    <row r="198" spans="1:10" x14ac:dyDescent="0.45">
      <c r="A198" s="1">
        <v>44574</v>
      </c>
      <c r="B198">
        <v>186.3</v>
      </c>
      <c r="C198">
        <v>171.01</v>
      </c>
      <c r="D198">
        <v>18.37</v>
      </c>
      <c r="E198">
        <v>16.43</v>
      </c>
      <c r="F198">
        <v>21.25</v>
      </c>
      <c r="G198">
        <v>102.64</v>
      </c>
      <c r="H198">
        <v>17.38</v>
      </c>
      <c r="I198">
        <v>22.6</v>
      </c>
      <c r="J198">
        <v>38.83</v>
      </c>
    </row>
    <row r="199" spans="1:10" x14ac:dyDescent="0.45">
      <c r="A199" s="1">
        <v>44573</v>
      </c>
      <c r="B199">
        <v>191.09</v>
      </c>
      <c r="C199">
        <v>176.43</v>
      </c>
      <c r="D199">
        <v>18.93</v>
      </c>
      <c r="E199">
        <v>16.690000000000001</v>
      </c>
      <c r="F199">
        <v>21.53</v>
      </c>
      <c r="G199">
        <v>102.28</v>
      </c>
      <c r="H199">
        <v>17.52</v>
      </c>
      <c r="I199">
        <v>22.94</v>
      </c>
      <c r="J199">
        <v>38.9</v>
      </c>
    </row>
    <row r="200" spans="1:10" x14ac:dyDescent="0.45">
      <c r="A200" s="1">
        <v>44572</v>
      </c>
      <c r="B200">
        <v>190.65</v>
      </c>
      <c r="C200">
        <v>176.25</v>
      </c>
      <c r="D200">
        <v>18.87</v>
      </c>
      <c r="E200">
        <v>16.649999999999999</v>
      </c>
      <c r="F200">
        <v>21.5</v>
      </c>
      <c r="G200">
        <v>101.81</v>
      </c>
      <c r="H200">
        <v>17.14</v>
      </c>
      <c r="I200">
        <v>23.14</v>
      </c>
      <c r="J200">
        <v>38.83</v>
      </c>
    </row>
    <row r="201" spans="1:10" x14ac:dyDescent="0.45">
      <c r="A201" s="1">
        <v>44571</v>
      </c>
      <c r="B201">
        <v>188.01</v>
      </c>
      <c r="C201">
        <v>173.14</v>
      </c>
      <c r="D201">
        <v>18.59</v>
      </c>
      <c r="E201">
        <v>16.489999999999998</v>
      </c>
      <c r="F201">
        <v>21.3</v>
      </c>
      <c r="G201">
        <v>102.47</v>
      </c>
      <c r="H201">
        <v>16.72</v>
      </c>
      <c r="I201">
        <v>23.05</v>
      </c>
      <c r="J201">
        <v>38.54</v>
      </c>
    </row>
    <row r="202" spans="1:10" x14ac:dyDescent="0.45">
      <c r="A202" s="1">
        <v>44568</v>
      </c>
      <c r="B202">
        <v>187.93</v>
      </c>
      <c r="C202">
        <v>173.54</v>
      </c>
      <c r="D202">
        <v>18.600000000000001</v>
      </c>
      <c r="E202">
        <v>16.5</v>
      </c>
      <c r="F202">
        <v>21.3</v>
      </c>
      <c r="G202">
        <v>103.06</v>
      </c>
      <c r="H202">
        <v>16.77</v>
      </c>
      <c r="I202">
        <v>22.93</v>
      </c>
      <c r="J202">
        <v>38.58</v>
      </c>
    </row>
    <row r="203" spans="1:10" x14ac:dyDescent="0.45">
      <c r="A203" s="1">
        <v>44567</v>
      </c>
      <c r="B203">
        <v>189.76</v>
      </c>
      <c r="C203">
        <v>175.74</v>
      </c>
      <c r="D203">
        <v>18.760000000000002</v>
      </c>
      <c r="E203">
        <v>16.57</v>
      </c>
      <c r="F203">
        <v>21.36</v>
      </c>
      <c r="G203">
        <v>102.14</v>
      </c>
      <c r="H203">
        <v>16.54</v>
      </c>
      <c r="I203">
        <v>22.8</v>
      </c>
      <c r="J203">
        <v>38.4</v>
      </c>
    </row>
    <row r="204" spans="1:10" x14ac:dyDescent="0.45">
      <c r="A204" s="1">
        <v>44566</v>
      </c>
      <c r="B204">
        <v>190</v>
      </c>
      <c r="C204">
        <v>175.8</v>
      </c>
      <c r="D204">
        <v>18.77</v>
      </c>
      <c r="E204">
        <v>16.59</v>
      </c>
      <c r="F204">
        <v>21.34</v>
      </c>
      <c r="G204">
        <v>103.09</v>
      </c>
      <c r="H204">
        <v>16.46</v>
      </c>
      <c r="I204">
        <v>22.87</v>
      </c>
      <c r="J204">
        <v>38.450000000000003</v>
      </c>
    </row>
    <row r="205" spans="1:10" x14ac:dyDescent="0.45">
      <c r="A205" s="1">
        <v>44565</v>
      </c>
      <c r="B205">
        <v>196.57</v>
      </c>
      <c r="C205">
        <v>183.12</v>
      </c>
      <c r="D205">
        <v>19.489999999999998</v>
      </c>
      <c r="E205">
        <v>16.940000000000001</v>
      </c>
      <c r="F205">
        <v>21.75</v>
      </c>
      <c r="G205">
        <v>103.98</v>
      </c>
      <c r="H205">
        <v>16.57</v>
      </c>
      <c r="I205">
        <v>23.24</v>
      </c>
      <c r="J205">
        <v>38.770000000000003</v>
      </c>
    </row>
    <row r="206" spans="1:10" x14ac:dyDescent="0.45">
      <c r="A206" s="1">
        <v>44564</v>
      </c>
      <c r="B206">
        <v>199.18</v>
      </c>
      <c r="C206">
        <v>185.96</v>
      </c>
      <c r="D206">
        <v>19.760000000000002</v>
      </c>
      <c r="E206">
        <v>16.97</v>
      </c>
      <c r="F206">
        <v>21.75</v>
      </c>
      <c r="G206">
        <v>104.24</v>
      </c>
      <c r="H206">
        <v>16.329999999999998</v>
      </c>
      <c r="I206">
        <v>23.65</v>
      </c>
      <c r="J206">
        <v>38.42</v>
      </c>
    </row>
    <row r="207" spans="1:10" x14ac:dyDescent="0.45">
      <c r="A207" s="1">
        <v>44561</v>
      </c>
      <c r="B207">
        <v>196.82</v>
      </c>
      <c r="C207">
        <v>183.62</v>
      </c>
      <c r="D207">
        <v>19.600000000000001</v>
      </c>
      <c r="E207">
        <v>16.87</v>
      </c>
      <c r="F207">
        <v>21.58</v>
      </c>
      <c r="G207">
        <v>105.05</v>
      </c>
      <c r="H207">
        <v>16.239999999999998</v>
      </c>
      <c r="I207">
        <v>23.72</v>
      </c>
      <c r="J207">
        <v>38.28</v>
      </c>
    </row>
    <row r="208" spans="1:10" x14ac:dyDescent="0.45">
      <c r="A208" s="1">
        <v>44560</v>
      </c>
      <c r="B208">
        <v>198.03</v>
      </c>
      <c r="C208">
        <v>184.82</v>
      </c>
      <c r="D208">
        <v>19.75</v>
      </c>
      <c r="E208">
        <v>16.920000000000002</v>
      </c>
      <c r="F208">
        <v>21.64</v>
      </c>
      <c r="G208">
        <v>104.5</v>
      </c>
      <c r="H208">
        <v>16.190000000000001</v>
      </c>
      <c r="I208">
        <v>23.82</v>
      </c>
      <c r="J208">
        <v>38.299999999999997</v>
      </c>
    </row>
    <row r="209" spans="1:10" x14ac:dyDescent="0.45">
      <c r="A209" s="1">
        <v>44559</v>
      </c>
      <c r="B209">
        <v>198.35</v>
      </c>
      <c r="C209">
        <v>184.81</v>
      </c>
      <c r="D209">
        <v>19.760000000000002</v>
      </c>
      <c r="E209">
        <v>16.96</v>
      </c>
      <c r="F209">
        <v>21.72</v>
      </c>
      <c r="G209">
        <v>103.98</v>
      </c>
      <c r="H209">
        <v>16.25</v>
      </c>
      <c r="I209">
        <v>23.83</v>
      </c>
      <c r="J209">
        <v>38.36</v>
      </c>
    </row>
    <row r="210" spans="1:10" x14ac:dyDescent="0.45">
      <c r="A210" s="1">
        <v>44558</v>
      </c>
      <c r="B210">
        <v>198.54</v>
      </c>
      <c r="C210">
        <v>185</v>
      </c>
      <c r="D210">
        <v>19.78</v>
      </c>
      <c r="E210">
        <v>16.940000000000001</v>
      </c>
      <c r="F210">
        <v>21.68</v>
      </c>
      <c r="G210">
        <v>103.5</v>
      </c>
      <c r="H210">
        <v>16.27</v>
      </c>
      <c r="I210">
        <v>23.78</v>
      </c>
      <c r="J210">
        <v>38.26</v>
      </c>
    </row>
    <row r="211" spans="1:10" x14ac:dyDescent="0.45">
      <c r="A211" s="1">
        <v>44557</v>
      </c>
      <c r="B211">
        <v>200.6</v>
      </c>
      <c r="C211">
        <v>186.67</v>
      </c>
      <c r="D211">
        <v>19.920000000000002</v>
      </c>
      <c r="E211">
        <v>16.97</v>
      </c>
      <c r="F211">
        <v>21.71</v>
      </c>
      <c r="G211">
        <v>102.61</v>
      </c>
      <c r="H211">
        <v>16.29</v>
      </c>
      <c r="I211">
        <v>23.85</v>
      </c>
      <c r="J211">
        <v>38.119999999999997</v>
      </c>
    </row>
    <row r="212" spans="1:10" x14ac:dyDescent="0.45">
      <c r="A212" s="1">
        <v>44553</v>
      </c>
      <c r="B212">
        <v>197.84</v>
      </c>
      <c r="C212">
        <v>184.09</v>
      </c>
      <c r="D212">
        <v>19.68</v>
      </c>
      <c r="E212">
        <v>16.75</v>
      </c>
      <c r="F212">
        <v>21.39</v>
      </c>
      <c r="G212">
        <v>102.17</v>
      </c>
      <c r="H212">
        <v>16.05</v>
      </c>
      <c r="I212">
        <v>23.69</v>
      </c>
      <c r="J212">
        <v>37.729999999999997</v>
      </c>
    </row>
    <row r="213" spans="1:10" x14ac:dyDescent="0.45">
      <c r="A213" s="1">
        <v>44552</v>
      </c>
      <c r="B213">
        <v>196.18</v>
      </c>
      <c r="C213">
        <v>182.55</v>
      </c>
      <c r="D213">
        <v>19.55</v>
      </c>
      <c r="E213">
        <v>16.64</v>
      </c>
      <c r="F213">
        <v>21.26</v>
      </c>
      <c r="G213">
        <v>102.19</v>
      </c>
      <c r="H213">
        <v>15.96</v>
      </c>
      <c r="I213">
        <v>23.55</v>
      </c>
      <c r="J213">
        <v>37.54</v>
      </c>
    </row>
    <row r="214" spans="1:10" x14ac:dyDescent="0.45">
      <c r="A214" s="1">
        <v>44551</v>
      </c>
      <c r="B214">
        <v>193.89</v>
      </c>
      <c r="C214">
        <v>180.35</v>
      </c>
      <c r="D214">
        <v>19.329999999999998</v>
      </c>
      <c r="E214">
        <v>16.48</v>
      </c>
      <c r="F214">
        <v>21.04</v>
      </c>
      <c r="G214">
        <v>101.74</v>
      </c>
      <c r="H214">
        <v>15.76</v>
      </c>
      <c r="I214">
        <v>23.4</v>
      </c>
      <c r="J214">
        <v>37.28</v>
      </c>
    </row>
    <row r="215" spans="1:10" x14ac:dyDescent="0.45">
      <c r="A215" s="1">
        <v>44550</v>
      </c>
      <c r="B215">
        <v>189.32</v>
      </c>
      <c r="C215">
        <v>174.84</v>
      </c>
      <c r="D215">
        <v>18.850000000000001</v>
      </c>
      <c r="E215">
        <v>16.18</v>
      </c>
      <c r="F215">
        <v>20.69</v>
      </c>
      <c r="G215">
        <v>101.4</v>
      </c>
      <c r="H215">
        <v>15.34</v>
      </c>
      <c r="I215">
        <v>23.2</v>
      </c>
      <c r="J215">
        <v>36.799999999999997</v>
      </c>
    </row>
    <row r="216" spans="1:10" x14ac:dyDescent="0.45">
      <c r="A216" s="1">
        <v>44547</v>
      </c>
      <c r="B216">
        <v>191.71</v>
      </c>
      <c r="C216">
        <v>177.39</v>
      </c>
      <c r="D216">
        <v>19.07</v>
      </c>
      <c r="E216">
        <v>16.37</v>
      </c>
      <c r="F216">
        <v>20.91</v>
      </c>
      <c r="G216">
        <v>101.6</v>
      </c>
      <c r="H216">
        <v>15.62</v>
      </c>
      <c r="I216">
        <v>23.17</v>
      </c>
      <c r="J216">
        <v>37.25</v>
      </c>
    </row>
    <row r="217" spans="1:10" x14ac:dyDescent="0.45">
      <c r="A217" s="1">
        <v>44546</v>
      </c>
      <c r="B217">
        <v>191.86</v>
      </c>
      <c r="C217">
        <v>179.9</v>
      </c>
      <c r="D217">
        <v>19.66</v>
      </c>
      <c r="E217">
        <v>16.510000000000002</v>
      </c>
      <c r="F217">
        <v>24.22</v>
      </c>
      <c r="G217">
        <v>105.82</v>
      </c>
      <c r="H217">
        <v>15.8</v>
      </c>
      <c r="I217">
        <v>25.16</v>
      </c>
      <c r="J217">
        <v>37.74</v>
      </c>
    </row>
    <row r="218" spans="1:10" x14ac:dyDescent="0.45">
      <c r="A218" s="1">
        <v>44545</v>
      </c>
      <c r="B218">
        <v>196.72</v>
      </c>
      <c r="C218">
        <v>185.7</v>
      </c>
      <c r="D218">
        <v>20.190000000000001</v>
      </c>
      <c r="E218">
        <v>16.670000000000002</v>
      </c>
      <c r="F218">
        <v>24.44</v>
      </c>
      <c r="G218">
        <v>105.49</v>
      </c>
      <c r="H218">
        <v>15.59</v>
      </c>
      <c r="I218">
        <v>25</v>
      </c>
      <c r="J218">
        <v>37.49</v>
      </c>
    </row>
    <row r="219" spans="1:10" x14ac:dyDescent="0.45">
      <c r="A219" s="1">
        <v>44544</v>
      </c>
      <c r="B219">
        <v>192.57</v>
      </c>
      <c r="C219">
        <v>182</v>
      </c>
      <c r="D219">
        <v>19.78</v>
      </c>
      <c r="E219">
        <v>16.399999999999999</v>
      </c>
      <c r="F219">
        <v>24.02</v>
      </c>
      <c r="G219">
        <v>103.98</v>
      </c>
      <c r="H219">
        <v>15.6</v>
      </c>
      <c r="I219">
        <v>24.26</v>
      </c>
      <c r="J219">
        <v>37.18</v>
      </c>
    </row>
    <row r="220" spans="1:10" x14ac:dyDescent="0.45">
      <c r="A220" s="1">
        <v>44543</v>
      </c>
      <c r="B220">
        <v>194.75</v>
      </c>
      <c r="C220">
        <v>184.34</v>
      </c>
      <c r="D220">
        <v>20.05</v>
      </c>
      <c r="E220">
        <v>16.53</v>
      </c>
      <c r="F220">
        <v>24.16</v>
      </c>
      <c r="G220">
        <v>104.77</v>
      </c>
      <c r="H220">
        <v>15.62</v>
      </c>
      <c r="I220">
        <v>24.42</v>
      </c>
      <c r="J220">
        <v>37.15</v>
      </c>
    </row>
    <row r="221" spans="1:10" x14ac:dyDescent="0.45">
      <c r="A221" s="1">
        <v>44540</v>
      </c>
      <c r="B221">
        <v>197.46</v>
      </c>
      <c r="C221">
        <v>188.21</v>
      </c>
      <c r="D221">
        <v>20.37</v>
      </c>
      <c r="E221">
        <v>16.68</v>
      </c>
      <c r="F221">
        <v>24.36</v>
      </c>
      <c r="G221">
        <v>103.88</v>
      </c>
      <c r="H221">
        <v>15.84</v>
      </c>
      <c r="I221">
        <v>24.19</v>
      </c>
      <c r="J221">
        <v>37.26</v>
      </c>
    </row>
    <row r="222" spans="1:10" x14ac:dyDescent="0.45">
      <c r="A222" s="1">
        <v>44539</v>
      </c>
      <c r="B222">
        <v>196.02</v>
      </c>
      <c r="C222">
        <v>187.83</v>
      </c>
      <c r="D222">
        <v>20.25</v>
      </c>
      <c r="E222">
        <v>16.54</v>
      </c>
      <c r="F222">
        <v>24.12</v>
      </c>
      <c r="G222">
        <v>103.38</v>
      </c>
      <c r="H222">
        <v>15.8</v>
      </c>
      <c r="I222">
        <v>24.25</v>
      </c>
      <c r="J222">
        <v>38.119999999999997</v>
      </c>
    </row>
    <row r="223" spans="1:10" x14ac:dyDescent="0.45">
      <c r="A223" s="1">
        <v>44538</v>
      </c>
      <c r="B223">
        <v>199.4</v>
      </c>
      <c r="C223">
        <v>191.28</v>
      </c>
      <c r="D223">
        <v>20.52</v>
      </c>
      <c r="E223">
        <v>16.68</v>
      </c>
      <c r="F223">
        <v>24.29</v>
      </c>
      <c r="G223">
        <v>103.78</v>
      </c>
      <c r="H223">
        <v>15.93</v>
      </c>
      <c r="I223">
        <v>24.53</v>
      </c>
      <c r="J223">
        <v>38.159999999999997</v>
      </c>
    </row>
    <row r="224" spans="1:10" x14ac:dyDescent="0.45">
      <c r="A224" s="1">
        <v>44537</v>
      </c>
      <c r="B224">
        <v>198.14</v>
      </c>
      <c r="C224">
        <v>189.79</v>
      </c>
      <c r="D224">
        <v>20.350000000000001</v>
      </c>
      <c r="E224">
        <v>16.61</v>
      </c>
      <c r="F224">
        <v>24.23</v>
      </c>
      <c r="G224">
        <v>103.88</v>
      </c>
      <c r="H224">
        <v>15.87</v>
      </c>
      <c r="I224">
        <v>24.3</v>
      </c>
      <c r="J224">
        <v>38.11</v>
      </c>
    </row>
    <row r="225" spans="1:10" x14ac:dyDescent="0.45">
      <c r="A225" s="1">
        <v>44536</v>
      </c>
      <c r="B225">
        <v>192.33</v>
      </c>
      <c r="C225">
        <v>183.57</v>
      </c>
      <c r="D225">
        <v>19.7</v>
      </c>
      <c r="E225">
        <v>16.260000000000002</v>
      </c>
      <c r="F225">
        <v>23.74</v>
      </c>
      <c r="G225">
        <v>103.31</v>
      </c>
      <c r="H225">
        <v>15.51</v>
      </c>
      <c r="I225">
        <v>24.1</v>
      </c>
      <c r="J225">
        <v>37.79</v>
      </c>
    </row>
    <row r="226" spans="1:10" x14ac:dyDescent="0.45">
      <c r="A226" s="1">
        <v>44533</v>
      </c>
      <c r="B226">
        <v>190.54</v>
      </c>
      <c r="C226">
        <v>181.62</v>
      </c>
      <c r="D226">
        <v>19.5</v>
      </c>
      <c r="E226">
        <v>16.079999999999998</v>
      </c>
      <c r="F226">
        <v>23.46</v>
      </c>
      <c r="G226">
        <v>101.36</v>
      </c>
      <c r="H226">
        <v>15.29</v>
      </c>
      <c r="I226">
        <v>23.97</v>
      </c>
      <c r="J226">
        <v>37.19</v>
      </c>
    </row>
    <row r="227" spans="1:10" x14ac:dyDescent="0.45">
      <c r="A227" s="1">
        <v>44532</v>
      </c>
      <c r="B227">
        <v>194.26</v>
      </c>
      <c r="C227">
        <v>185.34</v>
      </c>
      <c r="D227">
        <v>19.86</v>
      </c>
      <c r="E227">
        <v>16.399999999999999</v>
      </c>
      <c r="F227">
        <v>23.67</v>
      </c>
      <c r="G227">
        <v>100.91</v>
      </c>
      <c r="H227">
        <v>15.97</v>
      </c>
      <c r="I227">
        <v>24.24</v>
      </c>
      <c r="J227">
        <v>37.229999999999997</v>
      </c>
    </row>
    <row r="228" spans="1:10" x14ac:dyDescent="0.45">
      <c r="A228" s="1">
        <v>44531</v>
      </c>
      <c r="B228">
        <v>192.63</v>
      </c>
      <c r="C228">
        <v>183.35</v>
      </c>
      <c r="D228">
        <v>19.72</v>
      </c>
      <c r="E228">
        <v>16.170000000000002</v>
      </c>
      <c r="F228">
        <v>23.35</v>
      </c>
      <c r="G228">
        <v>99.52</v>
      </c>
      <c r="H228">
        <v>15.58</v>
      </c>
      <c r="I228">
        <v>24.16</v>
      </c>
      <c r="J228">
        <v>36.520000000000003</v>
      </c>
    </row>
    <row r="229" spans="1:10" x14ac:dyDescent="0.45">
      <c r="A229" s="1">
        <v>44530</v>
      </c>
      <c r="B229">
        <v>196.19</v>
      </c>
      <c r="C229">
        <v>188.3</v>
      </c>
      <c r="D229">
        <v>20.05</v>
      </c>
      <c r="E229">
        <v>16.39</v>
      </c>
      <c r="F229">
        <v>23.6</v>
      </c>
      <c r="G229">
        <v>99.54</v>
      </c>
      <c r="H229">
        <v>15.77</v>
      </c>
      <c r="I229">
        <v>24.15</v>
      </c>
      <c r="J229">
        <v>36.700000000000003</v>
      </c>
    </row>
    <row r="230" spans="1:10" x14ac:dyDescent="0.45">
      <c r="A230" s="1">
        <v>44529</v>
      </c>
      <c r="B230">
        <v>199.26</v>
      </c>
      <c r="C230">
        <v>191.82</v>
      </c>
      <c r="D230">
        <v>20.41</v>
      </c>
      <c r="E230">
        <v>16.71</v>
      </c>
      <c r="F230">
        <v>24.05</v>
      </c>
      <c r="G230">
        <v>102.24</v>
      </c>
      <c r="H230">
        <v>16.13</v>
      </c>
      <c r="I230">
        <v>24.41</v>
      </c>
      <c r="J230">
        <v>37.65</v>
      </c>
    </row>
    <row r="231" spans="1:10" x14ac:dyDescent="0.45">
      <c r="A231" s="1">
        <v>44526</v>
      </c>
      <c r="B231">
        <v>195.57</v>
      </c>
      <c r="C231">
        <v>188.34</v>
      </c>
      <c r="D231">
        <v>20.059999999999999</v>
      </c>
      <c r="E231">
        <v>16.489999999999998</v>
      </c>
      <c r="F231">
        <v>23.76</v>
      </c>
      <c r="G231">
        <v>100.75</v>
      </c>
      <c r="H231">
        <v>16</v>
      </c>
      <c r="I231">
        <v>24.73</v>
      </c>
      <c r="J231">
        <v>37.520000000000003</v>
      </c>
    </row>
    <row r="232" spans="1:10" x14ac:dyDescent="0.45">
      <c r="A232" s="1">
        <v>44524</v>
      </c>
      <c r="B232">
        <v>200.06</v>
      </c>
      <c r="C232">
        <v>192.55</v>
      </c>
      <c r="D232">
        <v>20.52</v>
      </c>
      <c r="E232">
        <v>16.86</v>
      </c>
      <c r="F232">
        <v>24.31</v>
      </c>
      <c r="G232">
        <v>102.74</v>
      </c>
      <c r="H232">
        <v>16.55</v>
      </c>
      <c r="I232">
        <v>24.92</v>
      </c>
      <c r="J232">
        <v>38.43</v>
      </c>
    </row>
    <row r="233" spans="1:10" x14ac:dyDescent="0.45">
      <c r="A233" s="1">
        <v>44523</v>
      </c>
      <c r="B233">
        <v>199.19</v>
      </c>
      <c r="C233">
        <v>191.31</v>
      </c>
      <c r="D233">
        <v>20.43</v>
      </c>
      <c r="E233">
        <v>16.8</v>
      </c>
      <c r="F233">
        <v>24.24</v>
      </c>
      <c r="G233">
        <v>102.55</v>
      </c>
      <c r="H233">
        <v>16.55</v>
      </c>
      <c r="I233">
        <v>24.91</v>
      </c>
      <c r="J233">
        <v>38.520000000000003</v>
      </c>
    </row>
    <row r="234" spans="1:10" x14ac:dyDescent="0.45">
      <c r="A234" s="1">
        <v>44522</v>
      </c>
      <c r="B234">
        <v>200.12</v>
      </c>
      <c r="C234">
        <v>192.72</v>
      </c>
      <c r="D234">
        <v>20.52</v>
      </c>
      <c r="E234">
        <v>16.79</v>
      </c>
      <c r="F234">
        <v>24.17</v>
      </c>
      <c r="G234">
        <v>102.31</v>
      </c>
      <c r="H234">
        <v>16.32</v>
      </c>
      <c r="I234">
        <v>24.94</v>
      </c>
      <c r="J234">
        <v>38.28</v>
      </c>
    </row>
    <row r="235" spans="1:10" x14ac:dyDescent="0.45">
      <c r="A235" s="1">
        <v>44519</v>
      </c>
      <c r="B235">
        <v>202.64</v>
      </c>
      <c r="C235">
        <v>196.14</v>
      </c>
      <c r="D235">
        <v>20.92</v>
      </c>
      <c r="E235">
        <v>16.87</v>
      </c>
      <c r="F235">
        <v>24.23</v>
      </c>
      <c r="G235">
        <v>101.88</v>
      </c>
      <c r="H235">
        <v>16.14</v>
      </c>
      <c r="I235">
        <v>25.19</v>
      </c>
      <c r="J235">
        <v>38.119999999999997</v>
      </c>
    </row>
    <row r="236" spans="1:10" x14ac:dyDescent="0.45">
      <c r="A236" s="1">
        <v>44518</v>
      </c>
      <c r="B236">
        <v>201.86</v>
      </c>
      <c r="C236">
        <v>195.78</v>
      </c>
      <c r="D236">
        <v>20.87</v>
      </c>
      <c r="E236">
        <v>16.899999999999999</v>
      </c>
      <c r="F236">
        <v>24.31</v>
      </c>
      <c r="G236">
        <v>101.28</v>
      </c>
      <c r="H236">
        <v>16.440000000000001</v>
      </c>
      <c r="I236">
        <v>25.29</v>
      </c>
      <c r="J236">
        <v>38.42</v>
      </c>
    </row>
    <row r="237" spans="1:10" x14ac:dyDescent="0.45">
      <c r="A237" s="1">
        <v>44517</v>
      </c>
      <c r="B237">
        <v>200.92</v>
      </c>
      <c r="C237">
        <v>193.88</v>
      </c>
      <c r="D237">
        <v>20.71</v>
      </c>
      <c r="E237">
        <v>16.850000000000001</v>
      </c>
      <c r="F237">
        <v>24.22</v>
      </c>
      <c r="G237">
        <v>101.93</v>
      </c>
      <c r="H237">
        <v>16.46</v>
      </c>
      <c r="I237">
        <v>25.48</v>
      </c>
      <c r="J237">
        <v>38.6</v>
      </c>
    </row>
    <row r="238" spans="1:10" x14ac:dyDescent="0.45">
      <c r="A238" s="1">
        <v>44516</v>
      </c>
      <c r="B238">
        <v>201.54</v>
      </c>
      <c r="C238">
        <v>195.42</v>
      </c>
      <c r="D238">
        <v>20.79</v>
      </c>
      <c r="E238">
        <v>16.899999999999999</v>
      </c>
      <c r="F238">
        <v>24.31</v>
      </c>
      <c r="G238">
        <v>101.98</v>
      </c>
      <c r="H238">
        <v>16.579999999999998</v>
      </c>
      <c r="I238">
        <v>25.46</v>
      </c>
      <c r="J238">
        <v>38.729999999999997</v>
      </c>
    </row>
    <row r="239" spans="1:10" x14ac:dyDescent="0.45">
      <c r="A239" s="1">
        <v>44515</v>
      </c>
      <c r="B239">
        <v>200.02</v>
      </c>
      <c r="C239">
        <v>193.49</v>
      </c>
      <c r="D239">
        <v>20.66</v>
      </c>
      <c r="E239">
        <v>16.82</v>
      </c>
      <c r="F239">
        <v>24.25</v>
      </c>
      <c r="G239">
        <v>102.44</v>
      </c>
      <c r="H239">
        <v>16.66</v>
      </c>
      <c r="I239">
        <v>25.57</v>
      </c>
      <c r="J239">
        <v>38.81</v>
      </c>
    </row>
    <row r="240" spans="1:10" x14ac:dyDescent="0.45">
      <c r="A240" s="1">
        <v>44512</v>
      </c>
      <c r="B240">
        <v>200.09</v>
      </c>
      <c r="C240">
        <v>193.7</v>
      </c>
      <c r="D240">
        <v>20.65</v>
      </c>
      <c r="E240">
        <v>16.82</v>
      </c>
      <c r="F240">
        <v>24.27</v>
      </c>
      <c r="G240">
        <v>101.17</v>
      </c>
      <c r="H240">
        <v>16.63</v>
      </c>
      <c r="I240">
        <v>25.66</v>
      </c>
      <c r="J240">
        <v>38.81</v>
      </c>
    </row>
    <row r="241" spans="1:10" x14ac:dyDescent="0.45">
      <c r="A241" s="1">
        <v>44511</v>
      </c>
      <c r="B241">
        <v>198.1</v>
      </c>
      <c r="C241">
        <v>191.1</v>
      </c>
      <c r="D241">
        <v>20.38</v>
      </c>
      <c r="E241">
        <v>16.690000000000001</v>
      </c>
      <c r="F241">
        <v>24.09</v>
      </c>
      <c r="G241">
        <v>101.3</v>
      </c>
      <c r="H241">
        <v>16.61</v>
      </c>
      <c r="I241">
        <v>25.9</v>
      </c>
      <c r="J241">
        <v>38.78</v>
      </c>
    </row>
    <row r="242" spans="1:10" x14ac:dyDescent="0.45">
      <c r="A242" s="1">
        <v>44510</v>
      </c>
      <c r="B242">
        <v>197.09</v>
      </c>
      <c r="C242">
        <v>189.62</v>
      </c>
      <c r="D242">
        <v>20.28</v>
      </c>
      <c r="E242">
        <v>16.68</v>
      </c>
      <c r="F242">
        <v>24.04</v>
      </c>
      <c r="G242">
        <v>101.48</v>
      </c>
      <c r="H242">
        <v>16.329999999999998</v>
      </c>
      <c r="I242">
        <v>25.97</v>
      </c>
      <c r="J242">
        <v>38.71</v>
      </c>
    </row>
    <row r="243" spans="1:10" x14ac:dyDescent="0.45">
      <c r="A243" s="1">
        <v>44509</v>
      </c>
      <c r="B243">
        <v>200.39</v>
      </c>
      <c r="C243">
        <v>193.39</v>
      </c>
      <c r="D243">
        <v>20.66</v>
      </c>
      <c r="E243">
        <v>16.829999999999998</v>
      </c>
      <c r="F243">
        <v>24.25</v>
      </c>
      <c r="G243">
        <v>100.75</v>
      </c>
      <c r="H243">
        <v>16.61</v>
      </c>
      <c r="I243">
        <v>25.99</v>
      </c>
      <c r="J243">
        <v>38.79</v>
      </c>
    </row>
    <row r="244" spans="1:10" x14ac:dyDescent="0.45">
      <c r="A244" s="1">
        <v>44508</v>
      </c>
      <c r="B244">
        <v>201.6</v>
      </c>
      <c r="C244">
        <v>194.18</v>
      </c>
      <c r="D244">
        <v>20.7</v>
      </c>
      <c r="E244">
        <v>16.89</v>
      </c>
      <c r="F244">
        <v>24.33</v>
      </c>
      <c r="G244">
        <v>100.18</v>
      </c>
      <c r="H244">
        <v>16.62</v>
      </c>
      <c r="I244">
        <v>26.01</v>
      </c>
      <c r="J244">
        <v>38.74</v>
      </c>
    </row>
    <row r="245" spans="1:10" x14ac:dyDescent="0.45">
      <c r="A245" s="1">
        <v>44505</v>
      </c>
      <c r="B245">
        <v>201.48</v>
      </c>
      <c r="C245">
        <v>194.01</v>
      </c>
      <c r="D245">
        <v>20.64</v>
      </c>
      <c r="E245">
        <v>16.86</v>
      </c>
      <c r="F245">
        <v>24.31</v>
      </c>
      <c r="G245">
        <v>101.72</v>
      </c>
      <c r="H245">
        <v>16.41</v>
      </c>
      <c r="I245">
        <v>26.03</v>
      </c>
      <c r="J245">
        <v>38.76</v>
      </c>
    </row>
    <row r="246" spans="1:10" x14ac:dyDescent="0.45">
      <c r="A246" s="1">
        <v>44504</v>
      </c>
      <c r="B246">
        <v>201.03</v>
      </c>
      <c r="C246">
        <v>193.51</v>
      </c>
      <c r="D246">
        <v>20.6</v>
      </c>
      <c r="E246">
        <v>16.809999999999999</v>
      </c>
      <c r="F246">
        <v>24.24</v>
      </c>
      <c r="G246">
        <v>100.91</v>
      </c>
      <c r="H246">
        <v>16.329999999999998</v>
      </c>
      <c r="I246">
        <v>26.57</v>
      </c>
      <c r="J246">
        <v>38.6</v>
      </c>
    </row>
    <row r="247" spans="1:10" x14ac:dyDescent="0.45">
      <c r="A247" s="1">
        <v>44503</v>
      </c>
      <c r="B247">
        <v>199.39</v>
      </c>
      <c r="C247">
        <v>191.42</v>
      </c>
      <c r="D247">
        <v>20.329999999999998</v>
      </c>
      <c r="E247">
        <v>16.739999999999998</v>
      </c>
      <c r="F247">
        <v>24.11</v>
      </c>
      <c r="G247">
        <v>101.41</v>
      </c>
      <c r="H247">
        <v>16.350000000000001</v>
      </c>
      <c r="I247">
        <v>26.46</v>
      </c>
      <c r="J247">
        <v>38.75</v>
      </c>
    </row>
    <row r="248" spans="1:10" x14ac:dyDescent="0.45">
      <c r="A248" s="1">
        <v>44502</v>
      </c>
      <c r="B248">
        <v>197.35</v>
      </c>
      <c r="C248">
        <v>188.99</v>
      </c>
      <c r="D248">
        <v>20.16</v>
      </c>
      <c r="E248">
        <v>16.63</v>
      </c>
      <c r="F248">
        <v>23.97</v>
      </c>
      <c r="G248">
        <v>101.27</v>
      </c>
      <c r="H248">
        <v>16.25</v>
      </c>
      <c r="I248">
        <v>26.16</v>
      </c>
      <c r="J248">
        <v>38.409999999999997</v>
      </c>
    </row>
    <row r="249" spans="1:10" x14ac:dyDescent="0.45">
      <c r="A249" s="1">
        <v>44501</v>
      </c>
      <c r="B249">
        <v>196.66</v>
      </c>
      <c r="C249">
        <v>188.73</v>
      </c>
      <c r="D249">
        <v>20.11</v>
      </c>
      <c r="E249">
        <v>16.579999999999998</v>
      </c>
      <c r="F249">
        <v>23.92</v>
      </c>
      <c r="G249">
        <v>101.48</v>
      </c>
      <c r="H249">
        <v>16.52</v>
      </c>
      <c r="I249">
        <v>25.88</v>
      </c>
      <c r="J249">
        <v>38.33</v>
      </c>
    </row>
    <row r="250" spans="1:10" x14ac:dyDescent="0.45">
      <c r="A250" s="1">
        <v>44498</v>
      </c>
      <c r="B250">
        <v>195.45</v>
      </c>
      <c r="C250">
        <v>187.53</v>
      </c>
      <c r="D250">
        <v>20.12</v>
      </c>
      <c r="E250">
        <v>16.55</v>
      </c>
      <c r="F250">
        <v>23.83</v>
      </c>
      <c r="G250">
        <v>100.92</v>
      </c>
      <c r="H250">
        <v>16.39</v>
      </c>
      <c r="I250">
        <v>25.76</v>
      </c>
      <c r="J250">
        <v>38.15</v>
      </c>
    </row>
    <row r="251" spans="1:10" x14ac:dyDescent="0.45">
      <c r="A251" s="1">
        <v>44497</v>
      </c>
      <c r="B251">
        <v>194.8</v>
      </c>
      <c r="C251">
        <v>186.76</v>
      </c>
      <c r="D251">
        <v>20.059999999999999</v>
      </c>
      <c r="E251">
        <v>16.510000000000002</v>
      </c>
      <c r="F251">
        <v>23.78</v>
      </c>
      <c r="G251">
        <v>101.41</v>
      </c>
      <c r="H251">
        <v>16.52</v>
      </c>
      <c r="I251">
        <v>25.63</v>
      </c>
      <c r="J251">
        <v>38.229999999999997</v>
      </c>
    </row>
    <row r="252" spans="1:10" x14ac:dyDescent="0.45">
      <c r="A252" s="1">
        <v>44496</v>
      </c>
      <c r="B252">
        <v>192.14</v>
      </c>
      <c r="C252">
        <v>184.21</v>
      </c>
      <c r="D252">
        <v>19.86</v>
      </c>
      <c r="E252">
        <v>16.350000000000001</v>
      </c>
      <c r="F252">
        <v>23.54</v>
      </c>
      <c r="G252">
        <v>100.69</v>
      </c>
      <c r="H252">
        <v>16.489999999999998</v>
      </c>
      <c r="I252">
        <v>25.24</v>
      </c>
      <c r="J252">
        <v>37.9</v>
      </c>
    </row>
    <row r="253" spans="1:10" x14ac:dyDescent="0.45">
      <c r="A253" s="1">
        <v>44495</v>
      </c>
      <c r="B253">
        <v>192.12</v>
      </c>
      <c r="C253">
        <v>184.54</v>
      </c>
      <c r="D253">
        <v>19.829999999999998</v>
      </c>
      <c r="E253">
        <v>16.440000000000001</v>
      </c>
      <c r="F253">
        <v>23.71</v>
      </c>
      <c r="G253">
        <v>101.05</v>
      </c>
      <c r="H253">
        <v>16.809999999999999</v>
      </c>
      <c r="I253">
        <v>25.44</v>
      </c>
      <c r="J253">
        <v>38.340000000000003</v>
      </c>
    </row>
    <row r="254" spans="1:10" x14ac:dyDescent="0.45">
      <c r="A254" s="1">
        <v>44494</v>
      </c>
      <c r="B254">
        <v>192.01</v>
      </c>
      <c r="C254">
        <v>184.12</v>
      </c>
      <c r="D254">
        <v>19.77</v>
      </c>
      <c r="E254">
        <v>16.41</v>
      </c>
      <c r="F254">
        <v>23.7</v>
      </c>
      <c r="G254">
        <v>100.54</v>
      </c>
      <c r="H254">
        <v>16.86</v>
      </c>
      <c r="I254">
        <v>25.34</v>
      </c>
      <c r="J254">
        <v>38.33</v>
      </c>
    </row>
    <row r="255" spans="1:10" x14ac:dyDescent="0.45">
      <c r="A255" s="1">
        <v>44491</v>
      </c>
      <c r="B255">
        <v>190.3</v>
      </c>
      <c r="C255">
        <v>182.4</v>
      </c>
      <c r="D255">
        <v>19.71</v>
      </c>
      <c r="E255">
        <v>16.329999999999998</v>
      </c>
      <c r="F255">
        <v>23.58</v>
      </c>
      <c r="G255">
        <v>100.66</v>
      </c>
      <c r="H255">
        <v>16.600000000000001</v>
      </c>
      <c r="I255">
        <v>25.33</v>
      </c>
      <c r="J255">
        <v>38.36</v>
      </c>
    </row>
    <row r="256" spans="1:10" x14ac:dyDescent="0.45">
      <c r="A256" s="1">
        <v>44490</v>
      </c>
      <c r="B256">
        <v>191.88</v>
      </c>
      <c r="C256">
        <v>184.72</v>
      </c>
      <c r="D256">
        <v>19.98</v>
      </c>
      <c r="E256">
        <v>16.37</v>
      </c>
      <c r="F256">
        <v>23.62</v>
      </c>
      <c r="G256">
        <v>100.14</v>
      </c>
      <c r="H256">
        <v>16.52</v>
      </c>
      <c r="I256">
        <v>25.25</v>
      </c>
      <c r="J256">
        <v>38.200000000000003</v>
      </c>
    </row>
    <row r="257" spans="1:10" x14ac:dyDescent="0.45">
      <c r="A257" s="1">
        <v>44489</v>
      </c>
      <c r="B257">
        <v>190.7</v>
      </c>
      <c r="C257">
        <v>183.18</v>
      </c>
      <c r="D257">
        <v>19.87</v>
      </c>
      <c r="E257">
        <v>16.309999999999999</v>
      </c>
      <c r="F257">
        <v>23.57</v>
      </c>
      <c r="G257">
        <v>100.14</v>
      </c>
      <c r="H257">
        <v>16.850000000000001</v>
      </c>
      <c r="I257">
        <v>25.14</v>
      </c>
      <c r="J257">
        <v>38.17</v>
      </c>
    </row>
    <row r="258" spans="1:10" x14ac:dyDescent="0.45">
      <c r="A258" s="1">
        <v>44488</v>
      </c>
      <c r="B258">
        <v>190.79</v>
      </c>
      <c r="C258">
        <v>183.84</v>
      </c>
      <c r="D258">
        <v>19.920000000000002</v>
      </c>
      <c r="E258">
        <v>16.25</v>
      </c>
      <c r="F258">
        <v>23.47</v>
      </c>
      <c r="G258">
        <v>98.43</v>
      </c>
      <c r="H258">
        <v>16.79</v>
      </c>
      <c r="I258">
        <v>24.98</v>
      </c>
      <c r="J258">
        <v>37.72</v>
      </c>
    </row>
    <row r="259" spans="1:10" x14ac:dyDescent="0.45">
      <c r="A259" s="1">
        <v>44487</v>
      </c>
      <c r="B259">
        <v>189.45</v>
      </c>
      <c r="C259">
        <v>182.8</v>
      </c>
      <c r="D259">
        <v>19.77</v>
      </c>
      <c r="E259">
        <v>16.13</v>
      </c>
      <c r="F259">
        <v>23.3</v>
      </c>
      <c r="G259">
        <v>97.26</v>
      </c>
      <c r="H259">
        <v>16.7</v>
      </c>
      <c r="I259">
        <v>24.7</v>
      </c>
      <c r="J259">
        <v>37.43</v>
      </c>
    </row>
    <row r="260" spans="1:10" x14ac:dyDescent="0.45">
      <c r="A260" s="1">
        <v>44484</v>
      </c>
      <c r="B260">
        <v>187.87</v>
      </c>
      <c r="C260">
        <v>180.8</v>
      </c>
      <c r="D260">
        <v>19.600000000000001</v>
      </c>
      <c r="E260">
        <v>16.07</v>
      </c>
      <c r="F260">
        <v>23.22</v>
      </c>
      <c r="G260">
        <v>98.16</v>
      </c>
      <c r="H260">
        <v>16.68</v>
      </c>
      <c r="I260">
        <v>24.92</v>
      </c>
      <c r="J260">
        <v>37.619999999999997</v>
      </c>
    </row>
    <row r="261" spans="1:10" x14ac:dyDescent="0.45">
      <c r="A261" s="1">
        <v>44483</v>
      </c>
      <c r="B261">
        <v>186.94</v>
      </c>
      <c r="C261">
        <v>179.57</v>
      </c>
      <c r="D261">
        <v>19.510000000000002</v>
      </c>
      <c r="E261">
        <v>15.95</v>
      </c>
      <c r="F261">
        <v>23.04</v>
      </c>
      <c r="G261">
        <v>98.04</v>
      </c>
      <c r="H261">
        <v>16.54</v>
      </c>
      <c r="I261">
        <v>24.79</v>
      </c>
      <c r="J261">
        <v>37.42</v>
      </c>
    </row>
    <row r="262" spans="1:10" x14ac:dyDescent="0.45">
      <c r="A262" s="1">
        <v>44482</v>
      </c>
      <c r="B262">
        <v>183.76</v>
      </c>
      <c r="C262">
        <v>176.94</v>
      </c>
      <c r="D262">
        <v>19.18</v>
      </c>
      <c r="E262">
        <v>15.68</v>
      </c>
      <c r="F262">
        <v>22.65</v>
      </c>
      <c r="G262">
        <v>96.8</v>
      </c>
      <c r="H262">
        <v>16.29</v>
      </c>
      <c r="I262">
        <v>24.71</v>
      </c>
      <c r="J262">
        <v>36.729999999999997</v>
      </c>
    </row>
    <row r="263" spans="1:10" x14ac:dyDescent="0.45">
      <c r="A263" s="1">
        <v>44481</v>
      </c>
      <c r="B263">
        <v>182.44</v>
      </c>
      <c r="C263">
        <v>175.35</v>
      </c>
      <c r="D263">
        <v>19.010000000000002</v>
      </c>
      <c r="E263">
        <v>15.62</v>
      </c>
      <c r="F263">
        <v>22.59</v>
      </c>
      <c r="G263">
        <v>95.55</v>
      </c>
      <c r="H263">
        <v>16.239999999999998</v>
      </c>
      <c r="I263">
        <v>24.66</v>
      </c>
      <c r="J263">
        <v>36.68</v>
      </c>
    </row>
    <row r="264" spans="1:10" x14ac:dyDescent="0.45">
      <c r="A264" s="1">
        <v>44480</v>
      </c>
      <c r="B264">
        <v>182.7</v>
      </c>
      <c r="C264">
        <v>174.62</v>
      </c>
      <c r="D264">
        <v>19.05</v>
      </c>
      <c r="E264">
        <v>15.65</v>
      </c>
      <c r="F264">
        <v>22.65</v>
      </c>
      <c r="G264">
        <v>94.97</v>
      </c>
      <c r="H264">
        <v>16.25</v>
      </c>
      <c r="I264">
        <v>24.78</v>
      </c>
      <c r="J264">
        <v>36.770000000000003</v>
      </c>
    </row>
    <row r="265" spans="1:10" x14ac:dyDescent="0.45">
      <c r="A265" s="1">
        <v>44477</v>
      </c>
      <c r="B265">
        <v>183.87</v>
      </c>
      <c r="C265">
        <v>176.19</v>
      </c>
      <c r="D265">
        <v>19.18</v>
      </c>
      <c r="E265">
        <v>15.76</v>
      </c>
      <c r="F265">
        <v>22.8</v>
      </c>
      <c r="G265">
        <v>96.26</v>
      </c>
      <c r="H265">
        <v>16.16</v>
      </c>
      <c r="I265">
        <v>24.83</v>
      </c>
      <c r="J265">
        <v>37.07</v>
      </c>
    </row>
    <row r="266" spans="1:10" x14ac:dyDescent="0.45">
      <c r="A266" s="1">
        <v>44476</v>
      </c>
      <c r="B266">
        <v>184.81</v>
      </c>
      <c r="C266">
        <v>177.16</v>
      </c>
      <c r="D266">
        <v>19.21</v>
      </c>
      <c r="E266">
        <v>15.79</v>
      </c>
      <c r="F266">
        <v>22.82</v>
      </c>
      <c r="G266">
        <v>96.75</v>
      </c>
      <c r="H266">
        <v>15.97</v>
      </c>
      <c r="I266">
        <v>24.88</v>
      </c>
      <c r="J266">
        <v>37.17</v>
      </c>
    </row>
    <row r="267" spans="1:10" x14ac:dyDescent="0.45">
      <c r="A267" s="1">
        <v>44475</v>
      </c>
      <c r="B267">
        <v>182.9</v>
      </c>
      <c r="C267">
        <v>174.83</v>
      </c>
      <c r="D267">
        <v>18.97</v>
      </c>
      <c r="E267">
        <v>15.65</v>
      </c>
      <c r="F267">
        <v>22.62</v>
      </c>
      <c r="G267">
        <v>96.9</v>
      </c>
      <c r="H267">
        <v>15.73</v>
      </c>
      <c r="I267">
        <v>24.61</v>
      </c>
      <c r="J267">
        <v>36.85</v>
      </c>
    </row>
    <row r="268" spans="1:10" x14ac:dyDescent="0.45">
      <c r="A268" s="1">
        <v>44474</v>
      </c>
      <c r="B268">
        <v>182.03</v>
      </c>
      <c r="C268">
        <v>173.61</v>
      </c>
      <c r="D268">
        <v>18.809999999999999</v>
      </c>
      <c r="E268">
        <v>15.58</v>
      </c>
      <c r="F268">
        <v>22.54</v>
      </c>
      <c r="G268">
        <v>95.57</v>
      </c>
      <c r="H268">
        <v>15.91</v>
      </c>
      <c r="I268">
        <v>24.7</v>
      </c>
      <c r="J268">
        <v>36.81</v>
      </c>
    </row>
    <row r="269" spans="1:10" x14ac:dyDescent="0.45">
      <c r="A269" s="1">
        <v>44473</v>
      </c>
      <c r="B269">
        <v>179.77</v>
      </c>
      <c r="C269">
        <v>171.52</v>
      </c>
      <c r="D269">
        <v>18.53</v>
      </c>
      <c r="E269">
        <v>15.41</v>
      </c>
      <c r="F269">
        <v>22.32</v>
      </c>
      <c r="G269">
        <v>95.54</v>
      </c>
      <c r="H269">
        <v>15.76</v>
      </c>
      <c r="I269">
        <v>24.68</v>
      </c>
      <c r="J269">
        <v>36.57</v>
      </c>
    </row>
    <row r="270" spans="1:10" x14ac:dyDescent="0.45">
      <c r="A270" s="1">
        <v>44470</v>
      </c>
      <c r="B270">
        <v>183.66</v>
      </c>
      <c r="C270">
        <v>175.82</v>
      </c>
      <c r="D270">
        <v>19.02</v>
      </c>
      <c r="E270">
        <v>15.63</v>
      </c>
      <c r="F270">
        <v>22.61</v>
      </c>
      <c r="G270">
        <v>94.51</v>
      </c>
      <c r="H270">
        <v>15.69</v>
      </c>
      <c r="I270">
        <v>24.76</v>
      </c>
      <c r="J270">
        <v>36.72</v>
      </c>
    </row>
    <row r="271" spans="1:10" x14ac:dyDescent="0.45">
      <c r="A271" s="1">
        <v>44469</v>
      </c>
      <c r="B271">
        <v>182.16</v>
      </c>
      <c r="C271">
        <v>174.1</v>
      </c>
      <c r="D271">
        <v>18.850000000000001</v>
      </c>
      <c r="E271">
        <v>15.46</v>
      </c>
      <c r="F271">
        <v>22.34</v>
      </c>
      <c r="G271">
        <v>94.56</v>
      </c>
      <c r="H271">
        <v>15.43</v>
      </c>
      <c r="I271">
        <v>24.7</v>
      </c>
      <c r="J271">
        <v>36.4</v>
      </c>
    </row>
    <row r="272" spans="1:10" x14ac:dyDescent="0.45">
      <c r="A272" s="1">
        <v>44468</v>
      </c>
      <c r="B272">
        <v>182.96</v>
      </c>
      <c r="C272">
        <v>174.94</v>
      </c>
      <c r="D272">
        <v>18.89</v>
      </c>
      <c r="E272">
        <v>15.63</v>
      </c>
      <c r="F272">
        <v>22.61</v>
      </c>
      <c r="G272">
        <v>95.29</v>
      </c>
      <c r="H272">
        <v>15.46</v>
      </c>
      <c r="I272">
        <v>24.68</v>
      </c>
      <c r="J272">
        <v>36.909999999999997</v>
      </c>
    </row>
    <row r="273" spans="1:10" x14ac:dyDescent="0.45">
      <c r="A273" s="1">
        <v>44467</v>
      </c>
      <c r="B273">
        <v>183.38</v>
      </c>
      <c r="C273">
        <v>175.83</v>
      </c>
      <c r="D273">
        <v>18.98</v>
      </c>
      <c r="E273">
        <v>15.61</v>
      </c>
      <c r="F273">
        <v>22.57</v>
      </c>
      <c r="G273">
        <v>94.45</v>
      </c>
      <c r="H273">
        <v>15.51</v>
      </c>
      <c r="I273">
        <v>24.36</v>
      </c>
      <c r="J273">
        <v>36.799999999999997</v>
      </c>
    </row>
    <row r="274" spans="1:10" x14ac:dyDescent="0.45">
      <c r="A274" s="1">
        <v>44466</v>
      </c>
      <c r="B274">
        <v>188.7</v>
      </c>
      <c r="C274">
        <v>181.4</v>
      </c>
      <c r="D274">
        <v>19.600000000000001</v>
      </c>
      <c r="E274">
        <v>15.95</v>
      </c>
      <c r="F274">
        <v>23.02</v>
      </c>
      <c r="G274">
        <v>95.85</v>
      </c>
      <c r="H274">
        <v>15.67</v>
      </c>
      <c r="I274">
        <v>24.73</v>
      </c>
      <c r="J274">
        <v>37.26</v>
      </c>
    </row>
    <row r="275" spans="1:10" x14ac:dyDescent="0.45">
      <c r="A275" s="1">
        <v>44463</v>
      </c>
      <c r="B275">
        <v>189.68</v>
      </c>
      <c r="C275">
        <v>182.32</v>
      </c>
      <c r="D275">
        <v>19.75</v>
      </c>
      <c r="E275">
        <v>16.010000000000002</v>
      </c>
      <c r="F275">
        <v>23.04</v>
      </c>
      <c r="G275">
        <v>96.6</v>
      </c>
      <c r="H275">
        <v>15.36</v>
      </c>
      <c r="I275">
        <v>24.96</v>
      </c>
      <c r="J275">
        <v>37.119999999999997</v>
      </c>
    </row>
    <row r="276" spans="1:10" x14ac:dyDescent="0.45">
      <c r="A276" s="1">
        <v>44462</v>
      </c>
      <c r="B276">
        <v>189.73</v>
      </c>
      <c r="C276">
        <v>182.42</v>
      </c>
      <c r="D276">
        <v>19.73</v>
      </c>
      <c r="E276">
        <v>15.99</v>
      </c>
      <c r="F276">
        <v>23</v>
      </c>
      <c r="G276">
        <v>96.75</v>
      </c>
      <c r="H276">
        <v>15.37</v>
      </c>
      <c r="I276">
        <v>25.06</v>
      </c>
      <c r="J276">
        <v>37.11</v>
      </c>
    </row>
    <row r="277" spans="1:10" x14ac:dyDescent="0.45">
      <c r="A277" s="1">
        <v>44461</v>
      </c>
      <c r="B277">
        <v>187.76</v>
      </c>
      <c r="C277">
        <v>180.1</v>
      </c>
      <c r="D277">
        <v>19.510000000000002</v>
      </c>
      <c r="E277">
        <v>15.8</v>
      </c>
      <c r="F277">
        <v>22.72</v>
      </c>
      <c r="G277">
        <v>97.03</v>
      </c>
      <c r="H277">
        <v>15.06</v>
      </c>
      <c r="I277">
        <v>24.78</v>
      </c>
      <c r="J277">
        <v>36.71</v>
      </c>
    </row>
    <row r="278" spans="1:10" x14ac:dyDescent="0.45">
      <c r="A278" s="1">
        <v>44460</v>
      </c>
      <c r="B278">
        <v>185.86</v>
      </c>
      <c r="C278">
        <v>177.98</v>
      </c>
      <c r="D278">
        <v>19.309999999999999</v>
      </c>
      <c r="E278">
        <v>15.66</v>
      </c>
      <c r="F278">
        <v>22.52</v>
      </c>
      <c r="G278">
        <v>97.07</v>
      </c>
      <c r="H278">
        <v>14.77</v>
      </c>
      <c r="I278">
        <v>24.82</v>
      </c>
      <c r="J278">
        <v>36.44</v>
      </c>
    </row>
    <row r="279" spans="1:10" x14ac:dyDescent="0.45">
      <c r="A279" s="1">
        <v>44459</v>
      </c>
      <c r="B279">
        <v>185.45</v>
      </c>
      <c r="C279">
        <v>176.83</v>
      </c>
      <c r="D279">
        <v>19.23</v>
      </c>
      <c r="E279">
        <v>15.66</v>
      </c>
      <c r="F279">
        <v>22.53</v>
      </c>
      <c r="G279">
        <v>97.18</v>
      </c>
      <c r="H279">
        <v>14.72</v>
      </c>
      <c r="I279">
        <v>24.62</v>
      </c>
      <c r="J279">
        <v>36.54</v>
      </c>
    </row>
    <row r="280" spans="1:10" x14ac:dyDescent="0.45">
      <c r="A280" s="1">
        <v>44456</v>
      </c>
      <c r="B280">
        <v>189.6</v>
      </c>
      <c r="C280">
        <v>180.91</v>
      </c>
      <c r="D280">
        <v>19.649999999999999</v>
      </c>
      <c r="E280">
        <v>15.93</v>
      </c>
      <c r="F280">
        <v>22.93</v>
      </c>
      <c r="G280">
        <v>97.8</v>
      </c>
      <c r="H280">
        <v>15.17</v>
      </c>
      <c r="I280">
        <v>24.63</v>
      </c>
      <c r="J280">
        <v>37.07</v>
      </c>
    </row>
    <row r="281" spans="1:10" x14ac:dyDescent="0.45">
      <c r="A281" s="1">
        <v>44455</v>
      </c>
      <c r="B281">
        <v>191.33</v>
      </c>
      <c r="C281">
        <v>182.6</v>
      </c>
      <c r="D281">
        <v>19.86</v>
      </c>
      <c r="E281">
        <v>16.07</v>
      </c>
      <c r="F281">
        <v>23.14</v>
      </c>
      <c r="G281">
        <v>98.88</v>
      </c>
      <c r="H281">
        <v>15.5</v>
      </c>
      <c r="I281">
        <v>24.77</v>
      </c>
      <c r="J281">
        <v>37.26</v>
      </c>
    </row>
    <row r="282" spans="1:10" x14ac:dyDescent="0.45">
      <c r="A282" s="1">
        <v>44454</v>
      </c>
      <c r="B282">
        <v>191.09</v>
      </c>
      <c r="C282">
        <v>181.7</v>
      </c>
      <c r="D282">
        <v>19.82</v>
      </c>
      <c r="E282">
        <v>16.079999999999998</v>
      </c>
      <c r="F282">
        <v>23.17</v>
      </c>
      <c r="G282">
        <v>99.9</v>
      </c>
      <c r="H282">
        <v>15.78</v>
      </c>
      <c r="I282">
        <v>24.81</v>
      </c>
      <c r="J282">
        <v>37.4</v>
      </c>
    </row>
    <row r="283" spans="1:10" x14ac:dyDescent="0.45">
      <c r="A283" s="1">
        <v>44453</v>
      </c>
      <c r="B283">
        <v>189.53</v>
      </c>
      <c r="C283">
        <v>180.29</v>
      </c>
      <c r="D283">
        <v>19.690000000000001</v>
      </c>
      <c r="E283">
        <v>15.95</v>
      </c>
      <c r="F283">
        <v>22.95</v>
      </c>
      <c r="G283">
        <v>99.68</v>
      </c>
      <c r="H283">
        <v>15.41</v>
      </c>
      <c r="I283">
        <v>24.77</v>
      </c>
      <c r="J283">
        <v>37.090000000000003</v>
      </c>
    </row>
    <row r="284" spans="1:10" x14ac:dyDescent="0.45">
      <c r="A284" s="1">
        <v>44452</v>
      </c>
      <c r="B284">
        <v>190.36</v>
      </c>
      <c r="C284">
        <v>180.77</v>
      </c>
      <c r="D284">
        <v>19.739999999999998</v>
      </c>
      <c r="E284">
        <v>16.04</v>
      </c>
      <c r="F284">
        <v>23.08</v>
      </c>
      <c r="G284">
        <v>100.15</v>
      </c>
      <c r="H284">
        <v>15.62</v>
      </c>
      <c r="I284">
        <v>24.83</v>
      </c>
      <c r="J284">
        <v>37.53</v>
      </c>
    </row>
    <row r="285" spans="1:10" x14ac:dyDescent="0.45">
      <c r="A285" s="1">
        <v>44449</v>
      </c>
      <c r="B285">
        <v>190.48</v>
      </c>
      <c r="C285">
        <v>181.25</v>
      </c>
      <c r="D285">
        <v>19.78</v>
      </c>
      <c r="E285">
        <v>16.010000000000002</v>
      </c>
      <c r="F285">
        <v>23.02</v>
      </c>
      <c r="G285">
        <v>99.71</v>
      </c>
      <c r="H285">
        <v>15.48</v>
      </c>
      <c r="I285">
        <v>24.94</v>
      </c>
      <c r="J285">
        <v>37.200000000000003</v>
      </c>
    </row>
    <row r="286" spans="1:10" x14ac:dyDescent="0.45">
      <c r="A286" s="1">
        <v>44448</v>
      </c>
      <c r="B286">
        <v>192.15</v>
      </c>
      <c r="C286">
        <v>196.25</v>
      </c>
      <c r="D286">
        <v>21.68</v>
      </c>
      <c r="E286">
        <v>16.13</v>
      </c>
      <c r="F286">
        <v>23.18</v>
      </c>
      <c r="G286">
        <v>100.99</v>
      </c>
      <c r="H286">
        <v>15.46</v>
      </c>
      <c r="I286">
        <v>25.16</v>
      </c>
      <c r="J286">
        <v>37.61</v>
      </c>
    </row>
    <row r="287" spans="1:10" x14ac:dyDescent="0.45">
      <c r="A287" s="1">
        <v>44447</v>
      </c>
      <c r="B287">
        <v>192.64</v>
      </c>
      <c r="C287">
        <v>196.13</v>
      </c>
      <c r="D287">
        <v>21.71</v>
      </c>
      <c r="E287">
        <v>16.2</v>
      </c>
      <c r="F287">
        <v>23.3</v>
      </c>
      <c r="G287">
        <v>101.45</v>
      </c>
      <c r="H287">
        <v>15.46</v>
      </c>
      <c r="I287">
        <v>25.66</v>
      </c>
      <c r="J287">
        <v>37.770000000000003</v>
      </c>
    </row>
    <row r="288" spans="1:10" x14ac:dyDescent="0.45">
      <c r="A288" s="1">
        <v>44446</v>
      </c>
      <c r="B288">
        <v>193.74</v>
      </c>
      <c r="C288">
        <v>198.19</v>
      </c>
      <c r="D288">
        <v>21.89</v>
      </c>
      <c r="E288">
        <v>16.23</v>
      </c>
      <c r="F288">
        <v>23.36</v>
      </c>
      <c r="G288">
        <v>100.11</v>
      </c>
      <c r="H288">
        <v>15.7</v>
      </c>
      <c r="I288">
        <v>25.97</v>
      </c>
      <c r="J288">
        <v>37.85</v>
      </c>
    </row>
    <row r="289" spans="1:10" x14ac:dyDescent="0.45">
      <c r="A289" s="1">
        <v>44442</v>
      </c>
      <c r="B289">
        <v>193.61</v>
      </c>
      <c r="C289">
        <v>197.49</v>
      </c>
      <c r="D289">
        <v>21.8</v>
      </c>
      <c r="E289">
        <v>16.29</v>
      </c>
      <c r="F289">
        <v>23.47</v>
      </c>
      <c r="G289">
        <v>101.02</v>
      </c>
      <c r="H289">
        <v>15.82</v>
      </c>
      <c r="I289">
        <v>26.23</v>
      </c>
      <c r="J289">
        <v>38.18</v>
      </c>
    </row>
    <row r="290" spans="1:10" x14ac:dyDescent="0.45">
      <c r="A290" s="1">
        <v>44441</v>
      </c>
      <c r="B290">
        <v>193.21</v>
      </c>
      <c r="C290">
        <v>196.68</v>
      </c>
      <c r="D290">
        <v>21.7</v>
      </c>
      <c r="E290">
        <v>16.28</v>
      </c>
      <c r="F290">
        <v>23.48</v>
      </c>
      <c r="G290">
        <v>101.79</v>
      </c>
      <c r="H290">
        <v>15.76</v>
      </c>
      <c r="I290">
        <v>26.37</v>
      </c>
      <c r="J290">
        <v>39</v>
      </c>
    </row>
    <row r="291" spans="1:10" x14ac:dyDescent="0.45">
      <c r="A291" s="1">
        <v>44440</v>
      </c>
      <c r="B291">
        <v>192.93</v>
      </c>
      <c r="C291">
        <v>196.81</v>
      </c>
      <c r="D291">
        <v>21.74</v>
      </c>
      <c r="E291">
        <v>16.239999999999998</v>
      </c>
      <c r="F291">
        <v>23.4</v>
      </c>
      <c r="G291">
        <v>100.92</v>
      </c>
      <c r="H291">
        <v>15.56</v>
      </c>
      <c r="I291">
        <v>26.12</v>
      </c>
      <c r="J291">
        <v>38.729999999999997</v>
      </c>
    </row>
    <row r="292" spans="1:10" x14ac:dyDescent="0.45">
      <c r="A292" s="1">
        <v>44439</v>
      </c>
      <c r="B292">
        <v>192.3</v>
      </c>
      <c r="C292">
        <v>195.89</v>
      </c>
      <c r="D292">
        <v>21.61</v>
      </c>
      <c r="E292">
        <v>16.23</v>
      </c>
      <c r="F292">
        <v>23.4</v>
      </c>
      <c r="G292">
        <v>99.75</v>
      </c>
      <c r="H292">
        <v>15.63</v>
      </c>
      <c r="I292">
        <v>26.03</v>
      </c>
      <c r="J292">
        <v>38.700000000000003</v>
      </c>
    </row>
    <row r="293" spans="1:10" x14ac:dyDescent="0.45">
      <c r="A293" s="1">
        <v>44438</v>
      </c>
      <c r="B293">
        <v>192.38</v>
      </c>
      <c r="C293">
        <v>196.54</v>
      </c>
      <c r="D293">
        <v>21.64</v>
      </c>
      <c r="E293">
        <v>16.260000000000002</v>
      </c>
      <c r="F293">
        <v>23.42</v>
      </c>
      <c r="G293">
        <v>99.68</v>
      </c>
      <c r="H293">
        <v>15.74</v>
      </c>
      <c r="I293">
        <v>26.08</v>
      </c>
      <c r="J293">
        <v>38.659999999999997</v>
      </c>
    </row>
    <row r="294" spans="1:10" x14ac:dyDescent="0.45">
      <c r="A294" s="1">
        <v>44435</v>
      </c>
      <c r="B294">
        <v>190.65</v>
      </c>
      <c r="C294">
        <v>194.9</v>
      </c>
      <c r="D294">
        <v>21.41</v>
      </c>
      <c r="E294">
        <v>16.18</v>
      </c>
      <c r="F294">
        <v>23.35</v>
      </c>
      <c r="G294">
        <v>99.74</v>
      </c>
      <c r="H294">
        <v>15.78</v>
      </c>
      <c r="I294">
        <v>26.01</v>
      </c>
      <c r="J294">
        <v>38.82</v>
      </c>
    </row>
    <row r="295" spans="1:10" x14ac:dyDescent="0.45">
      <c r="A295" s="1">
        <v>44434</v>
      </c>
      <c r="B295">
        <v>188.35</v>
      </c>
      <c r="C295">
        <v>192.89</v>
      </c>
      <c r="D295">
        <v>21.18</v>
      </c>
      <c r="E295">
        <v>16.04</v>
      </c>
      <c r="F295">
        <v>23.1</v>
      </c>
      <c r="G295">
        <v>99.73</v>
      </c>
      <c r="H295">
        <v>15.39</v>
      </c>
      <c r="I295">
        <v>25.95</v>
      </c>
      <c r="J295">
        <v>38.520000000000003</v>
      </c>
    </row>
    <row r="296" spans="1:10" x14ac:dyDescent="0.45">
      <c r="A296" s="1">
        <v>44433</v>
      </c>
      <c r="B296">
        <v>189.56</v>
      </c>
      <c r="C296">
        <v>194.18</v>
      </c>
      <c r="D296">
        <v>21.33</v>
      </c>
      <c r="E296">
        <v>16.13</v>
      </c>
      <c r="F296">
        <v>23.26</v>
      </c>
      <c r="G296">
        <v>100.24</v>
      </c>
      <c r="H296">
        <v>15.59</v>
      </c>
      <c r="I296">
        <v>26.07</v>
      </c>
      <c r="J296">
        <v>38.76</v>
      </c>
    </row>
    <row r="297" spans="1:10" x14ac:dyDescent="0.45">
      <c r="A297" s="1">
        <v>44432</v>
      </c>
      <c r="B297">
        <v>189.26</v>
      </c>
      <c r="C297">
        <v>193.26</v>
      </c>
      <c r="D297">
        <v>21.28</v>
      </c>
      <c r="E297">
        <v>16.100000000000001</v>
      </c>
      <c r="F297">
        <v>23.21</v>
      </c>
      <c r="G297">
        <v>99.93</v>
      </c>
      <c r="H297">
        <v>15.49</v>
      </c>
      <c r="I297">
        <v>26.1</v>
      </c>
      <c r="J297">
        <v>38.68</v>
      </c>
    </row>
    <row r="298" spans="1:10" x14ac:dyDescent="0.45">
      <c r="A298" s="1">
        <v>44431</v>
      </c>
      <c r="B298">
        <v>188.29</v>
      </c>
      <c r="C298">
        <v>191.76</v>
      </c>
      <c r="D298">
        <v>21.12</v>
      </c>
      <c r="E298">
        <v>16.059999999999999</v>
      </c>
      <c r="F298">
        <v>23.15</v>
      </c>
      <c r="G298">
        <v>100.38</v>
      </c>
      <c r="H298">
        <v>15.25</v>
      </c>
      <c r="I298">
        <v>26.22</v>
      </c>
      <c r="J298">
        <v>38.549999999999997</v>
      </c>
    </row>
    <row r="299" spans="1:10" x14ac:dyDescent="0.45">
      <c r="A299" s="1">
        <v>44428</v>
      </c>
      <c r="B299">
        <v>185.42</v>
      </c>
      <c r="C299">
        <v>188.42</v>
      </c>
      <c r="D299">
        <v>20.81</v>
      </c>
      <c r="E299">
        <v>15.92</v>
      </c>
      <c r="F299">
        <v>22.93</v>
      </c>
      <c r="G299">
        <v>101.37</v>
      </c>
      <c r="H299">
        <v>14.91</v>
      </c>
      <c r="I299">
        <v>26.21</v>
      </c>
      <c r="J299">
        <v>38.43</v>
      </c>
    </row>
    <row r="300" spans="1:10" x14ac:dyDescent="0.45">
      <c r="A300" s="1">
        <v>44427</v>
      </c>
      <c r="B300">
        <v>183.24</v>
      </c>
      <c r="C300">
        <v>186</v>
      </c>
      <c r="D300">
        <v>20.56</v>
      </c>
      <c r="E300">
        <v>15.79</v>
      </c>
      <c r="F300">
        <v>22.73</v>
      </c>
      <c r="G300">
        <v>99.9</v>
      </c>
      <c r="H300">
        <v>14.85</v>
      </c>
      <c r="I300">
        <v>26.02</v>
      </c>
      <c r="J300">
        <v>38.17</v>
      </c>
    </row>
    <row r="301" spans="1:10" x14ac:dyDescent="0.45">
      <c r="A301" s="1">
        <v>44426</v>
      </c>
      <c r="B301">
        <v>183.01</v>
      </c>
      <c r="C301">
        <v>186.23</v>
      </c>
      <c r="D301">
        <v>20.49</v>
      </c>
      <c r="E301">
        <v>15.77</v>
      </c>
      <c r="F301">
        <v>22.75</v>
      </c>
      <c r="G301">
        <v>99.72</v>
      </c>
      <c r="H301">
        <v>15.38</v>
      </c>
      <c r="I301">
        <v>26.01</v>
      </c>
      <c r="J301">
        <v>38.26</v>
      </c>
    </row>
    <row r="302" spans="1:10" x14ac:dyDescent="0.45">
      <c r="A302" s="1">
        <v>44425</v>
      </c>
      <c r="B302">
        <v>184.63</v>
      </c>
      <c r="C302">
        <v>187.21</v>
      </c>
      <c r="D302">
        <v>20.66</v>
      </c>
      <c r="E302">
        <v>15.93</v>
      </c>
      <c r="F302">
        <v>22.98</v>
      </c>
      <c r="G302">
        <v>100.16</v>
      </c>
      <c r="H302">
        <v>15.68</v>
      </c>
      <c r="I302">
        <v>26.27</v>
      </c>
      <c r="J302">
        <v>38.619999999999997</v>
      </c>
    </row>
    <row r="303" spans="1:10" x14ac:dyDescent="0.45">
      <c r="A303" s="1">
        <v>44424</v>
      </c>
      <c r="B303">
        <v>186.35</v>
      </c>
      <c r="C303">
        <v>189.88</v>
      </c>
      <c r="D303">
        <v>20.9</v>
      </c>
      <c r="E303">
        <v>16.04</v>
      </c>
      <c r="F303">
        <v>23.17</v>
      </c>
      <c r="G303">
        <v>100.22</v>
      </c>
      <c r="H303">
        <v>15.93</v>
      </c>
      <c r="I303">
        <v>26.02</v>
      </c>
      <c r="J303">
        <v>38.79</v>
      </c>
    </row>
    <row r="304" spans="1:10" x14ac:dyDescent="0.45">
      <c r="A304" s="1">
        <v>44421</v>
      </c>
      <c r="B304">
        <v>186.7</v>
      </c>
      <c r="C304">
        <v>191.1</v>
      </c>
      <c r="D304">
        <v>20.9</v>
      </c>
      <c r="E304">
        <v>16.010000000000002</v>
      </c>
      <c r="F304">
        <v>23.13</v>
      </c>
      <c r="G304">
        <v>99.88</v>
      </c>
      <c r="H304">
        <v>16.190000000000001</v>
      </c>
      <c r="I304">
        <v>25.9</v>
      </c>
      <c r="J304">
        <v>38.69</v>
      </c>
    </row>
    <row r="305" spans="1:10" x14ac:dyDescent="0.45">
      <c r="A305" s="1">
        <v>44420</v>
      </c>
      <c r="B305">
        <v>186.61</v>
      </c>
      <c r="C305">
        <v>191.16</v>
      </c>
      <c r="D305">
        <v>20.85</v>
      </c>
      <c r="E305">
        <v>15.99</v>
      </c>
      <c r="F305">
        <v>23.1</v>
      </c>
      <c r="G305">
        <v>99.4</v>
      </c>
      <c r="H305">
        <v>16.190000000000001</v>
      </c>
      <c r="I305">
        <v>25.69</v>
      </c>
      <c r="J305">
        <v>38.659999999999997</v>
      </c>
    </row>
    <row r="306" spans="1:10" x14ac:dyDescent="0.45">
      <c r="A306" s="1">
        <v>44419</v>
      </c>
      <c r="B306">
        <v>185.94</v>
      </c>
      <c r="C306">
        <v>190.17</v>
      </c>
      <c r="D306">
        <v>20.78</v>
      </c>
      <c r="E306">
        <v>15.93</v>
      </c>
      <c r="F306">
        <v>23.02</v>
      </c>
      <c r="G306">
        <v>99.27</v>
      </c>
      <c r="H306">
        <v>16.25</v>
      </c>
      <c r="I306">
        <v>25.45</v>
      </c>
      <c r="J306">
        <v>38.69</v>
      </c>
    </row>
    <row r="307" spans="1:10" x14ac:dyDescent="0.45">
      <c r="A307" s="1">
        <v>44418</v>
      </c>
      <c r="B307">
        <v>186.22</v>
      </c>
      <c r="C307">
        <v>190.51</v>
      </c>
      <c r="D307">
        <v>20.81</v>
      </c>
      <c r="E307">
        <v>15.9</v>
      </c>
      <c r="F307">
        <v>22.94</v>
      </c>
      <c r="G307">
        <v>98.21</v>
      </c>
      <c r="H307">
        <v>16.12</v>
      </c>
      <c r="I307">
        <v>25.55</v>
      </c>
      <c r="J307">
        <v>38.42</v>
      </c>
    </row>
    <row r="308" spans="1:10" x14ac:dyDescent="0.45">
      <c r="A308" s="1">
        <v>44417</v>
      </c>
      <c r="B308">
        <v>187.13</v>
      </c>
      <c r="C308">
        <v>191.01</v>
      </c>
      <c r="D308">
        <v>20.92</v>
      </c>
      <c r="E308">
        <v>15.9</v>
      </c>
      <c r="F308">
        <v>22.87</v>
      </c>
      <c r="G308">
        <v>97.84</v>
      </c>
      <c r="H308">
        <v>15.84</v>
      </c>
      <c r="I308">
        <v>25.65</v>
      </c>
      <c r="J308">
        <v>38.19</v>
      </c>
    </row>
    <row r="309" spans="1:10" x14ac:dyDescent="0.45">
      <c r="A309" s="1">
        <v>44414</v>
      </c>
      <c r="B309">
        <v>186.84</v>
      </c>
      <c r="C309">
        <v>190.59</v>
      </c>
      <c r="D309">
        <v>20.9</v>
      </c>
      <c r="E309">
        <v>15.91</v>
      </c>
      <c r="F309">
        <v>22.89</v>
      </c>
      <c r="G309">
        <v>97.89</v>
      </c>
      <c r="H309">
        <v>15.89</v>
      </c>
      <c r="I309">
        <v>25.7</v>
      </c>
      <c r="J309">
        <v>38.24</v>
      </c>
    </row>
    <row r="310" spans="1:10" x14ac:dyDescent="0.45">
      <c r="A310" s="1">
        <v>44413</v>
      </c>
      <c r="B310">
        <v>187.56</v>
      </c>
      <c r="C310">
        <v>191.41</v>
      </c>
      <c r="D310">
        <v>20.99</v>
      </c>
      <c r="E310">
        <v>15.9</v>
      </c>
      <c r="F310">
        <v>22.84</v>
      </c>
      <c r="G310">
        <v>97.88</v>
      </c>
      <c r="H310">
        <v>15.79</v>
      </c>
      <c r="I310">
        <v>25.93</v>
      </c>
      <c r="J310">
        <v>38.090000000000003</v>
      </c>
    </row>
    <row r="311" spans="1:10" x14ac:dyDescent="0.45">
      <c r="A311" s="1">
        <v>44412</v>
      </c>
      <c r="B311">
        <v>186.1</v>
      </c>
      <c r="C311">
        <v>189.27</v>
      </c>
      <c r="D311">
        <v>20.83</v>
      </c>
      <c r="E311">
        <v>15.8</v>
      </c>
      <c r="F311">
        <v>22.69</v>
      </c>
      <c r="G311">
        <v>96.85</v>
      </c>
      <c r="H311">
        <v>15.85</v>
      </c>
      <c r="I311">
        <v>25.69</v>
      </c>
      <c r="J311">
        <v>38.01</v>
      </c>
    </row>
    <row r="312" spans="1:10" x14ac:dyDescent="0.45">
      <c r="A312" s="1">
        <v>44411</v>
      </c>
      <c r="B312">
        <v>185.87</v>
      </c>
      <c r="C312">
        <v>189.14</v>
      </c>
      <c r="D312">
        <v>20.78</v>
      </c>
      <c r="E312">
        <v>15.86</v>
      </c>
      <c r="F312">
        <v>22.83</v>
      </c>
      <c r="G312">
        <v>97.33</v>
      </c>
      <c r="H312">
        <v>16.079999999999998</v>
      </c>
      <c r="I312">
        <v>25.76</v>
      </c>
      <c r="J312">
        <v>38.35</v>
      </c>
    </row>
    <row r="313" spans="1:10" x14ac:dyDescent="0.45">
      <c r="A313" s="1">
        <v>44410</v>
      </c>
      <c r="B313">
        <v>184.86</v>
      </c>
      <c r="C313">
        <v>188.08</v>
      </c>
      <c r="D313">
        <v>20.68</v>
      </c>
      <c r="E313">
        <v>15.74</v>
      </c>
      <c r="F313">
        <v>22.65</v>
      </c>
      <c r="G313">
        <v>96.67</v>
      </c>
      <c r="H313">
        <v>15.9</v>
      </c>
      <c r="I313">
        <v>25.49</v>
      </c>
      <c r="J313">
        <v>37.99</v>
      </c>
    </row>
    <row r="314" spans="1:10" x14ac:dyDescent="0.45">
      <c r="A314" s="1">
        <v>44407</v>
      </c>
      <c r="B314">
        <v>184.76</v>
      </c>
      <c r="C314">
        <v>187.78</v>
      </c>
      <c r="D314">
        <v>20.67</v>
      </c>
      <c r="E314">
        <v>15.76</v>
      </c>
      <c r="F314">
        <v>22.71</v>
      </c>
      <c r="G314">
        <v>96.07</v>
      </c>
      <c r="H314">
        <v>15.97</v>
      </c>
      <c r="I314">
        <v>25.43</v>
      </c>
      <c r="J314">
        <v>37.950000000000003</v>
      </c>
    </row>
    <row r="315" spans="1:10" x14ac:dyDescent="0.45">
      <c r="A315" s="1">
        <v>44406</v>
      </c>
      <c r="B315">
        <v>186.1</v>
      </c>
      <c r="C315">
        <v>189.67</v>
      </c>
      <c r="D315">
        <v>20.87</v>
      </c>
      <c r="E315">
        <v>15.85</v>
      </c>
      <c r="F315">
        <v>22.87</v>
      </c>
      <c r="G315">
        <v>97.11</v>
      </c>
      <c r="H315">
        <v>16.22</v>
      </c>
      <c r="I315">
        <v>25.53</v>
      </c>
      <c r="J315">
        <v>38.04</v>
      </c>
    </row>
    <row r="316" spans="1:10" x14ac:dyDescent="0.45">
      <c r="A316" s="1">
        <v>44405</v>
      </c>
      <c r="B316">
        <v>185.89</v>
      </c>
      <c r="C316">
        <v>189.42</v>
      </c>
      <c r="D316">
        <v>20.83</v>
      </c>
      <c r="E316">
        <v>15.79</v>
      </c>
      <c r="F316">
        <v>22.76</v>
      </c>
      <c r="G316">
        <v>96.86</v>
      </c>
      <c r="H316">
        <v>15.96</v>
      </c>
      <c r="I316">
        <v>25.55</v>
      </c>
      <c r="J316">
        <v>37.770000000000003</v>
      </c>
    </row>
    <row r="317" spans="1:10" x14ac:dyDescent="0.45">
      <c r="A317" s="1">
        <v>44404</v>
      </c>
      <c r="B317">
        <v>184.61</v>
      </c>
      <c r="C317">
        <v>187.69</v>
      </c>
      <c r="D317">
        <v>20.66</v>
      </c>
      <c r="E317">
        <v>15.78</v>
      </c>
      <c r="F317">
        <v>22.75</v>
      </c>
      <c r="G317">
        <v>97.23</v>
      </c>
      <c r="H317">
        <v>15.75</v>
      </c>
      <c r="I317">
        <v>25.32</v>
      </c>
      <c r="J317">
        <v>37.96</v>
      </c>
    </row>
    <row r="318" spans="1:10" x14ac:dyDescent="0.45">
      <c r="A318" s="1">
        <v>44403</v>
      </c>
      <c r="B318">
        <v>186.87</v>
      </c>
      <c r="C318">
        <v>190.4</v>
      </c>
      <c r="D318">
        <v>20.92</v>
      </c>
      <c r="E318">
        <v>15.86</v>
      </c>
      <c r="F318">
        <v>22.87</v>
      </c>
      <c r="G318">
        <v>95.73</v>
      </c>
      <c r="H318">
        <v>15.85</v>
      </c>
      <c r="I318">
        <v>25.25</v>
      </c>
      <c r="J318">
        <v>37.96</v>
      </c>
    </row>
    <row r="319" spans="1:10" x14ac:dyDescent="0.45">
      <c r="A319" s="1">
        <v>44400</v>
      </c>
      <c r="B319">
        <v>186.82</v>
      </c>
      <c r="C319">
        <v>190.47</v>
      </c>
      <c r="D319">
        <v>20.98</v>
      </c>
      <c r="E319">
        <v>15.84</v>
      </c>
      <c r="F319">
        <v>22.81</v>
      </c>
      <c r="G319">
        <v>95.87</v>
      </c>
      <c r="H319">
        <v>15.53</v>
      </c>
      <c r="I319">
        <v>25.52</v>
      </c>
      <c r="J319">
        <v>37.9</v>
      </c>
    </row>
    <row r="320" spans="1:10" x14ac:dyDescent="0.45">
      <c r="A320" s="1">
        <v>44399</v>
      </c>
      <c r="B320">
        <v>184.89</v>
      </c>
      <c r="C320">
        <v>188.2</v>
      </c>
      <c r="D320">
        <v>20.65</v>
      </c>
      <c r="E320">
        <v>15.67</v>
      </c>
      <c r="F320">
        <v>22.59</v>
      </c>
      <c r="G320">
        <v>95.07</v>
      </c>
      <c r="H320">
        <v>15.5</v>
      </c>
      <c r="I320">
        <v>25.31</v>
      </c>
      <c r="J320">
        <v>37.619999999999997</v>
      </c>
    </row>
    <row r="321" spans="1:10" x14ac:dyDescent="0.45">
      <c r="A321" s="1">
        <v>44398</v>
      </c>
      <c r="B321">
        <v>184.23</v>
      </c>
      <c r="C321">
        <v>187.12</v>
      </c>
      <c r="D321">
        <v>20.49</v>
      </c>
      <c r="E321">
        <v>15.63</v>
      </c>
      <c r="F321">
        <v>22.56</v>
      </c>
      <c r="G321">
        <v>94.96</v>
      </c>
      <c r="H321">
        <v>15.54</v>
      </c>
      <c r="I321">
        <v>25.32</v>
      </c>
      <c r="J321">
        <v>37.79</v>
      </c>
    </row>
    <row r="322" spans="1:10" x14ac:dyDescent="0.45">
      <c r="A322" s="1">
        <v>44397</v>
      </c>
      <c r="B322">
        <v>182.55</v>
      </c>
      <c r="C322">
        <v>184.49</v>
      </c>
      <c r="D322">
        <v>20.28</v>
      </c>
      <c r="E322">
        <v>15.5</v>
      </c>
      <c r="F322">
        <v>22.35</v>
      </c>
      <c r="G322">
        <v>95.5</v>
      </c>
      <c r="H322">
        <v>15.17</v>
      </c>
      <c r="I322">
        <v>25.21</v>
      </c>
      <c r="J322">
        <v>37.44</v>
      </c>
    </row>
    <row r="323" spans="1:10" x14ac:dyDescent="0.45">
      <c r="A323" s="1">
        <v>44396</v>
      </c>
      <c r="B323">
        <v>179.73</v>
      </c>
      <c r="C323">
        <v>181.05</v>
      </c>
      <c r="D323">
        <v>19.96</v>
      </c>
      <c r="E323">
        <v>15.26</v>
      </c>
      <c r="F323">
        <v>22</v>
      </c>
      <c r="G323">
        <v>94.7</v>
      </c>
      <c r="H323">
        <v>14.99</v>
      </c>
      <c r="I323">
        <v>25</v>
      </c>
      <c r="J323">
        <v>36.93</v>
      </c>
    </row>
    <row r="324" spans="1:10" x14ac:dyDescent="0.45">
      <c r="A324" s="1">
        <v>44393</v>
      </c>
      <c r="B324">
        <v>181.65</v>
      </c>
      <c r="C324">
        <v>182.64</v>
      </c>
      <c r="D324">
        <v>20.2</v>
      </c>
      <c r="E324">
        <v>15.49</v>
      </c>
      <c r="F324">
        <v>22.35</v>
      </c>
      <c r="G324">
        <v>96.7</v>
      </c>
      <c r="H324">
        <v>15.44</v>
      </c>
      <c r="I324">
        <v>25.18</v>
      </c>
      <c r="J324">
        <v>37.630000000000003</v>
      </c>
    </row>
    <row r="325" spans="1:10" x14ac:dyDescent="0.45">
      <c r="A325" s="1">
        <v>44392</v>
      </c>
      <c r="B325">
        <v>183.1</v>
      </c>
      <c r="C325">
        <v>184.72</v>
      </c>
      <c r="D325">
        <v>20.38</v>
      </c>
      <c r="E325">
        <v>15.59</v>
      </c>
      <c r="F325">
        <v>22.55</v>
      </c>
      <c r="G325">
        <v>96.02</v>
      </c>
      <c r="H325">
        <v>15.87</v>
      </c>
      <c r="I325">
        <v>25.14</v>
      </c>
      <c r="J325">
        <v>37.89</v>
      </c>
    </row>
    <row r="326" spans="1:10" x14ac:dyDescent="0.45">
      <c r="A326" s="1">
        <v>44391</v>
      </c>
      <c r="B326">
        <v>184.38</v>
      </c>
      <c r="C326">
        <v>186.77</v>
      </c>
      <c r="D326">
        <v>20.55</v>
      </c>
      <c r="E326">
        <v>15.64</v>
      </c>
      <c r="F326">
        <v>22.65</v>
      </c>
      <c r="G326">
        <v>95.12</v>
      </c>
      <c r="H326">
        <v>15.96</v>
      </c>
      <c r="I326">
        <v>25.49</v>
      </c>
      <c r="J326">
        <v>37.89</v>
      </c>
    </row>
    <row r="327" spans="1:10" x14ac:dyDescent="0.45">
      <c r="A327" s="1">
        <v>44390</v>
      </c>
      <c r="B327">
        <v>184.79</v>
      </c>
      <c r="C327">
        <v>188.09</v>
      </c>
      <c r="D327">
        <v>20.56</v>
      </c>
      <c r="E327">
        <v>15.64</v>
      </c>
      <c r="F327">
        <v>22.65</v>
      </c>
      <c r="G327">
        <v>94.59</v>
      </c>
      <c r="H327">
        <v>16.059999999999999</v>
      </c>
      <c r="I327">
        <v>25.57</v>
      </c>
      <c r="J327">
        <v>37.89</v>
      </c>
    </row>
    <row r="328" spans="1:10" x14ac:dyDescent="0.45">
      <c r="A328" s="1">
        <v>44389</v>
      </c>
      <c r="B328">
        <v>185.49</v>
      </c>
      <c r="C328">
        <v>189.12</v>
      </c>
      <c r="D328">
        <v>20.57</v>
      </c>
      <c r="E328">
        <v>15.69</v>
      </c>
      <c r="F328">
        <v>22.74</v>
      </c>
      <c r="G328">
        <v>95.69</v>
      </c>
      <c r="H328">
        <v>16.18</v>
      </c>
      <c r="I328">
        <v>25.67</v>
      </c>
      <c r="J328">
        <v>38.17</v>
      </c>
    </row>
    <row r="329" spans="1:10" x14ac:dyDescent="0.45">
      <c r="A329" s="1">
        <v>44386</v>
      </c>
      <c r="B329">
        <v>185.08</v>
      </c>
      <c r="C329">
        <v>188.71</v>
      </c>
      <c r="D329">
        <v>20.54</v>
      </c>
      <c r="E329">
        <v>15.65</v>
      </c>
      <c r="F329">
        <v>22.67</v>
      </c>
      <c r="G329">
        <v>95.57</v>
      </c>
      <c r="H329">
        <v>16.16</v>
      </c>
      <c r="I329">
        <v>25.58</v>
      </c>
      <c r="J329">
        <v>38</v>
      </c>
    </row>
    <row r="330" spans="1:10" x14ac:dyDescent="0.45">
      <c r="A330" s="1">
        <v>44385</v>
      </c>
      <c r="B330">
        <v>183.29</v>
      </c>
      <c r="C330">
        <v>186.39</v>
      </c>
      <c r="D330">
        <v>20.329999999999998</v>
      </c>
      <c r="E330">
        <v>15.48</v>
      </c>
      <c r="F330">
        <v>22.4</v>
      </c>
      <c r="G330">
        <v>95.19</v>
      </c>
      <c r="H330">
        <v>15.77</v>
      </c>
      <c r="I330">
        <v>25.44</v>
      </c>
      <c r="J330">
        <v>37.42</v>
      </c>
    </row>
    <row r="331" spans="1:10" x14ac:dyDescent="0.45">
      <c r="A331" s="1">
        <v>44384</v>
      </c>
      <c r="B331">
        <v>184.57</v>
      </c>
      <c r="C331">
        <v>188.01</v>
      </c>
      <c r="D331">
        <v>20.54</v>
      </c>
      <c r="E331">
        <v>15.61</v>
      </c>
      <c r="F331">
        <v>22.61</v>
      </c>
      <c r="G331">
        <v>95.7</v>
      </c>
      <c r="H331">
        <v>15.92</v>
      </c>
      <c r="I331">
        <v>25.46</v>
      </c>
      <c r="J331">
        <v>37.83</v>
      </c>
    </row>
    <row r="332" spans="1:10" x14ac:dyDescent="0.45">
      <c r="A332" s="1">
        <v>44383</v>
      </c>
      <c r="B332">
        <v>184.63</v>
      </c>
      <c r="C332">
        <v>188.93</v>
      </c>
      <c r="D332">
        <v>20.54</v>
      </c>
      <c r="E332">
        <v>15.57</v>
      </c>
      <c r="F332">
        <v>22.54</v>
      </c>
      <c r="G332">
        <v>95.42</v>
      </c>
      <c r="H332">
        <v>15.85</v>
      </c>
      <c r="I332">
        <v>25.47</v>
      </c>
      <c r="J332">
        <v>37.68</v>
      </c>
    </row>
    <row r="333" spans="1:10" x14ac:dyDescent="0.45">
      <c r="A333" s="1">
        <v>44379</v>
      </c>
      <c r="B333">
        <v>184.33</v>
      </c>
      <c r="C333">
        <v>188.6</v>
      </c>
      <c r="D333">
        <v>20.45</v>
      </c>
      <c r="E333">
        <v>15.58</v>
      </c>
      <c r="F333">
        <v>22.62</v>
      </c>
      <c r="G333">
        <v>95.19</v>
      </c>
      <c r="H333">
        <v>16.190000000000001</v>
      </c>
      <c r="I333">
        <v>25.62</v>
      </c>
      <c r="J333">
        <v>37.979999999999997</v>
      </c>
    </row>
    <row r="334" spans="1:10" x14ac:dyDescent="0.45">
      <c r="A334" s="1">
        <v>44378</v>
      </c>
      <c r="B334">
        <v>182.84</v>
      </c>
      <c r="C334">
        <v>187.06</v>
      </c>
      <c r="D334">
        <v>20.21</v>
      </c>
      <c r="E334">
        <v>15.46</v>
      </c>
      <c r="F334">
        <v>22.47</v>
      </c>
      <c r="G334">
        <v>95.01</v>
      </c>
      <c r="H334">
        <v>16.13</v>
      </c>
      <c r="I334">
        <v>25.52</v>
      </c>
      <c r="J334">
        <v>37.880000000000003</v>
      </c>
    </row>
    <row r="335" spans="1:10" x14ac:dyDescent="0.45">
      <c r="A335" s="1">
        <v>44377</v>
      </c>
      <c r="B335">
        <v>182.6</v>
      </c>
      <c r="C335">
        <v>186.74</v>
      </c>
      <c r="D335">
        <v>20.18</v>
      </c>
      <c r="E335">
        <v>15.39</v>
      </c>
      <c r="F335">
        <v>22.34</v>
      </c>
      <c r="G335">
        <v>93.98</v>
      </c>
      <c r="H335">
        <v>16.079999999999998</v>
      </c>
      <c r="I335">
        <v>25.3</v>
      </c>
      <c r="J335">
        <v>37.6</v>
      </c>
    </row>
    <row r="336" spans="1:10" x14ac:dyDescent="0.45">
      <c r="A336" s="1">
        <v>44376</v>
      </c>
      <c r="B336">
        <v>182.93</v>
      </c>
      <c r="C336">
        <v>187.12</v>
      </c>
      <c r="D336">
        <v>20.239999999999998</v>
      </c>
      <c r="E336">
        <v>15.38</v>
      </c>
      <c r="F336">
        <v>22.3</v>
      </c>
      <c r="G336">
        <v>94.15</v>
      </c>
      <c r="H336">
        <v>16</v>
      </c>
      <c r="I336">
        <v>25.34</v>
      </c>
      <c r="J336">
        <v>37.5</v>
      </c>
    </row>
    <row r="337" spans="1:10" x14ac:dyDescent="0.45">
      <c r="A337" s="1">
        <v>44375</v>
      </c>
      <c r="B337">
        <v>182.57</v>
      </c>
      <c r="C337">
        <v>186.63</v>
      </c>
      <c r="D337">
        <v>20.190000000000001</v>
      </c>
      <c r="E337">
        <v>15.37</v>
      </c>
      <c r="F337">
        <v>22.28</v>
      </c>
      <c r="G337">
        <v>95.54</v>
      </c>
      <c r="H337">
        <v>16.02</v>
      </c>
      <c r="I337">
        <v>25.4</v>
      </c>
      <c r="J337">
        <v>37.69</v>
      </c>
    </row>
    <row r="338" spans="1:10" x14ac:dyDescent="0.45">
      <c r="A338" s="1">
        <v>44372</v>
      </c>
      <c r="B338">
        <v>180.81</v>
      </c>
      <c r="C338">
        <v>185.15</v>
      </c>
      <c r="D338">
        <v>20.010000000000002</v>
      </c>
      <c r="E338">
        <v>15.32</v>
      </c>
      <c r="F338">
        <v>22.25</v>
      </c>
      <c r="G338">
        <v>94.8</v>
      </c>
      <c r="H338">
        <v>16.27</v>
      </c>
      <c r="I338">
        <v>25.39</v>
      </c>
      <c r="J338">
        <v>37.81</v>
      </c>
    </row>
    <row r="339" spans="1:10" x14ac:dyDescent="0.45">
      <c r="A339" s="1">
        <v>44371</v>
      </c>
      <c r="B339">
        <v>180.93</v>
      </c>
      <c r="C339">
        <v>185.18</v>
      </c>
      <c r="D339">
        <v>20.04</v>
      </c>
      <c r="E339">
        <v>15.28</v>
      </c>
      <c r="F339">
        <v>22.19</v>
      </c>
      <c r="G339">
        <v>93.67</v>
      </c>
      <c r="H339">
        <v>16.239999999999998</v>
      </c>
      <c r="I339">
        <v>25.19</v>
      </c>
      <c r="J339">
        <v>37.51</v>
      </c>
    </row>
    <row r="340" spans="1:10" x14ac:dyDescent="0.45">
      <c r="A340" s="1">
        <v>44370</v>
      </c>
      <c r="B340">
        <v>179.69</v>
      </c>
      <c r="C340">
        <v>183.88</v>
      </c>
      <c r="D340">
        <v>19.940000000000001</v>
      </c>
      <c r="E340">
        <v>15.18</v>
      </c>
      <c r="F340">
        <v>22.07</v>
      </c>
      <c r="G340">
        <v>93.77</v>
      </c>
      <c r="H340">
        <v>16.079999999999998</v>
      </c>
      <c r="I340">
        <v>24.85</v>
      </c>
      <c r="J340">
        <v>37.28</v>
      </c>
    </row>
    <row r="341" spans="1:10" x14ac:dyDescent="0.45">
      <c r="A341" s="1">
        <v>44369</v>
      </c>
      <c r="B341">
        <v>179.46</v>
      </c>
      <c r="C341">
        <v>182.88</v>
      </c>
      <c r="D341">
        <v>19.89</v>
      </c>
      <c r="E341">
        <v>15.19</v>
      </c>
      <c r="F341">
        <v>22.09</v>
      </c>
      <c r="G341">
        <v>94.55</v>
      </c>
      <c r="H341">
        <v>16</v>
      </c>
      <c r="I341">
        <v>25</v>
      </c>
      <c r="J341">
        <v>37.409999999999997</v>
      </c>
    </row>
    <row r="342" spans="1:10" x14ac:dyDescent="0.45">
      <c r="A342" s="1">
        <v>44368</v>
      </c>
      <c r="B342">
        <v>178.05</v>
      </c>
      <c r="C342">
        <v>181</v>
      </c>
      <c r="D342">
        <v>19.72</v>
      </c>
      <c r="E342">
        <v>15.1</v>
      </c>
      <c r="F342">
        <v>21.98</v>
      </c>
      <c r="G342">
        <v>95.31</v>
      </c>
      <c r="H342">
        <v>15.83</v>
      </c>
      <c r="I342">
        <v>25.14</v>
      </c>
      <c r="J342">
        <v>37.44</v>
      </c>
    </row>
    <row r="343" spans="1:10" x14ac:dyDescent="0.45">
      <c r="A343" s="1">
        <v>44365</v>
      </c>
      <c r="B343">
        <v>176.64</v>
      </c>
      <c r="C343">
        <v>179.48</v>
      </c>
      <c r="D343">
        <v>19.57</v>
      </c>
      <c r="E343">
        <v>14.91</v>
      </c>
      <c r="F343">
        <v>21.67</v>
      </c>
      <c r="G343">
        <v>94.08</v>
      </c>
      <c r="H343">
        <v>15.5</v>
      </c>
      <c r="I343">
        <v>25.04</v>
      </c>
      <c r="J343">
        <v>36.83</v>
      </c>
    </row>
    <row r="344" spans="1:10" x14ac:dyDescent="0.45">
      <c r="A344" s="1">
        <v>44364</v>
      </c>
      <c r="B344">
        <v>178.3</v>
      </c>
      <c r="C344">
        <v>180.58</v>
      </c>
      <c r="D344">
        <v>19.71</v>
      </c>
      <c r="E344">
        <v>15.09</v>
      </c>
      <c r="F344">
        <v>21.94</v>
      </c>
      <c r="G344">
        <v>96.46</v>
      </c>
      <c r="H344">
        <v>15.86</v>
      </c>
      <c r="I344">
        <v>25.22</v>
      </c>
      <c r="J344">
        <v>37.53</v>
      </c>
    </row>
    <row r="345" spans="1:10" x14ac:dyDescent="0.45">
      <c r="A345" s="1">
        <v>44363</v>
      </c>
      <c r="B345">
        <v>176.76</v>
      </c>
      <c r="C345">
        <v>178.66</v>
      </c>
      <c r="D345">
        <v>19.48</v>
      </c>
      <c r="E345">
        <v>15.07</v>
      </c>
      <c r="F345">
        <v>21.99</v>
      </c>
      <c r="G345">
        <v>96.17</v>
      </c>
      <c r="H345">
        <v>16.37</v>
      </c>
      <c r="I345">
        <v>25.16</v>
      </c>
      <c r="J345">
        <v>37.979999999999997</v>
      </c>
    </row>
    <row r="346" spans="1:10" x14ac:dyDescent="0.45">
      <c r="A346" s="1">
        <v>44362</v>
      </c>
      <c r="B346">
        <v>177.18</v>
      </c>
      <c r="C346">
        <v>179.01</v>
      </c>
      <c r="D346">
        <v>19.52</v>
      </c>
      <c r="E346">
        <v>15.14</v>
      </c>
      <c r="F346">
        <v>22.11</v>
      </c>
      <c r="G346">
        <v>97.55</v>
      </c>
      <c r="H346">
        <v>16.57</v>
      </c>
      <c r="I346">
        <v>25.27</v>
      </c>
      <c r="J346">
        <v>38.26</v>
      </c>
    </row>
    <row r="347" spans="1:10" x14ac:dyDescent="0.45">
      <c r="A347" s="1">
        <v>44361</v>
      </c>
      <c r="B347">
        <v>178.45</v>
      </c>
      <c r="C347">
        <v>180.66</v>
      </c>
      <c r="D347">
        <v>19.64</v>
      </c>
      <c r="E347">
        <v>15.19</v>
      </c>
      <c r="F347">
        <v>22.16</v>
      </c>
      <c r="G347">
        <v>97.3</v>
      </c>
      <c r="H347">
        <v>16.670000000000002</v>
      </c>
      <c r="I347">
        <v>25.35</v>
      </c>
      <c r="J347">
        <v>38.21</v>
      </c>
    </row>
    <row r="348" spans="1:10" x14ac:dyDescent="0.45">
      <c r="A348" s="1">
        <v>44358</v>
      </c>
      <c r="B348">
        <v>177.1</v>
      </c>
      <c r="C348">
        <v>179.1</v>
      </c>
      <c r="D348">
        <v>19.45</v>
      </c>
      <c r="E348">
        <v>15.15</v>
      </c>
      <c r="F348">
        <v>22.14</v>
      </c>
      <c r="G348">
        <v>97.09</v>
      </c>
      <c r="H348">
        <v>16.78</v>
      </c>
      <c r="I348">
        <v>25.28</v>
      </c>
      <c r="J348">
        <v>38.42</v>
      </c>
    </row>
    <row r="349" spans="1:10" x14ac:dyDescent="0.45">
      <c r="A349" s="1">
        <v>44357</v>
      </c>
      <c r="B349">
        <v>176.49</v>
      </c>
      <c r="C349">
        <v>177.83</v>
      </c>
      <c r="D349">
        <v>19.37</v>
      </c>
      <c r="E349">
        <v>15.11</v>
      </c>
      <c r="F349">
        <v>22.08</v>
      </c>
      <c r="G349">
        <v>96.59</v>
      </c>
      <c r="H349">
        <v>16.760000000000002</v>
      </c>
      <c r="I349">
        <v>25.5</v>
      </c>
      <c r="J349">
        <v>38.31</v>
      </c>
    </row>
    <row r="350" spans="1:10" x14ac:dyDescent="0.45">
      <c r="A350" s="1">
        <v>44356</v>
      </c>
      <c r="B350">
        <v>175.11</v>
      </c>
      <c r="C350">
        <v>176.32</v>
      </c>
      <c r="D350">
        <v>19.2</v>
      </c>
      <c r="E350">
        <v>15.03</v>
      </c>
      <c r="F350">
        <v>22.01</v>
      </c>
      <c r="G350">
        <v>95.83</v>
      </c>
      <c r="H350">
        <v>16.77</v>
      </c>
      <c r="I350">
        <v>24.98</v>
      </c>
      <c r="J350">
        <v>38.32</v>
      </c>
    </row>
    <row r="351" spans="1:10" x14ac:dyDescent="0.45">
      <c r="A351" s="1">
        <v>44355</v>
      </c>
      <c r="B351">
        <v>175.27</v>
      </c>
      <c r="C351">
        <v>177.11</v>
      </c>
      <c r="D351">
        <v>19.21</v>
      </c>
      <c r="E351">
        <v>15.05</v>
      </c>
      <c r="F351">
        <v>22.07</v>
      </c>
      <c r="G351">
        <v>94.98</v>
      </c>
      <c r="H351">
        <v>16.84</v>
      </c>
      <c r="I351">
        <v>24.52</v>
      </c>
      <c r="J351">
        <v>38.43</v>
      </c>
    </row>
    <row r="352" spans="1:10" x14ac:dyDescent="0.45">
      <c r="A352" s="1">
        <v>44354</v>
      </c>
      <c r="B352">
        <v>174.73</v>
      </c>
      <c r="C352">
        <v>176.67</v>
      </c>
      <c r="D352">
        <v>19.190000000000001</v>
      </c>
      <c r="E352">
        <v>15.05</v>
      </c>
      <c r="F352">
        <v>22.04</v>
      </c>
      <c r="G352">
        <v>95.42</v>
      </c>
      <c r="H352">
        <v>16.77</v>
      </c>
      <c r="I352">
        <v>24.58</v>
      </c>
      <c r="J352">
        <v>38.46</v>
      </c>
    </row>
    <row r="353" spans="1:10" x14ac:dyDescent="0.45">
      <c r="A353" s="1">
        <v>44351</v>
      </c>
      <c r="B353">
        <v>173.89</v>
      </c>
      <c r="C353">
        <v>175.58</v>
      </c>
      <c r="D353">
        <v>19.13</v>
      </c>
      <c r="E353">
        <v>15.05</v>
      </c>
      <c r="F353">
        <v>22.02</v>
      </c>
      <c r="G353">
        <v>95.16</v>
      </c>
      <c r="H353">
        <v>16.88</v>
      </c>
      <c r="I353">
        <v>24.3</v>
      </c>
      <c r="J353">
        <v>38.590000000000003</v>
      </c>
    </row>
    <row r="354" spans="1:10" x14ac:dyDescent="0.45">
      <c r="A354" s="1">
        <v>44350</v>
      </c>
      <c r="B354">
        <v>171.36</v>
      </c>
      <c r="C354">
        <v>173.03</v>
      </c>
      <c r="D354">
        <v>18.82</v>
      </c>
      <c r="E354">
        <v>14.91</v>
      </c>
      <c r="F354">
        <v>21.82</v>
      </c>
      <c r="G354">
        <v>95.3</v>
      </c>
      <c r="H354">
        <v>16.73</v>
      </c>
      <c r="I354">
        <v>24.16</v>
      </c>
      <c r="J354">
        <v>38.479999999999997</v>
      </c>
    </row>
    <row r="355" spans="1:10" x14ac:dyDescent="0.45">
      <c r="A355" s="1">
        <v>44349</v>
      </c>
      <c r="B355">
        <v>173.13</v>
      </c>
      <c r="C355">
        <v>175.29</v>
      </c>
      <c r="D355">
        <v>18.989999999999998</v>
      </c>
      <c r="E355">
        <v>14.97</v>
      </c>
      <c r="F355">
        <v>21.9</v>
      </c>
      <c r="G355">
        <v>94.66</v>
      </c>
      <c r="H355">
        <v>16.899999999999999</v>
      </c>
      <c r="I355">
        <v>24.05</v>
      </c>
      <c r="J355">
        <v>38.42</v>
      </c>
    </row>
    <row r="356" spans="1:10" x14ac:dyDescent="0.45">
      <c r="A356" s="1">
        <v>44348</v>
      </c>
      <c r="B356">
        <v>172.88</v>
      </c>
      <c r="C356">
        <v>175.34</v>
      </c>
      <c r="D356">
        <v>18.98</v>
      </c>
      <c r="E356">
        <v>14.95</v>
      </c>
      <c r="F356">
        <v>21.87</v>
      </c>
      <c r="G356">
        <v>94.31</v>
      </c>
      <c r="H356">
        <v>16.82</v>
      </c>
      <c r="I356">
        <v>24.15</v>
      </c>
      <c r="J356">
        <v>38.46</v>
      </c>
    </row>
    <row r="357" spans="1:10" x14ac:dyDescent="0.45">
      <c r="A357" s="1">
        <v>44344</v>
      </c>
      <c r="B357">
        <v>173.02</v>
      </c>
      <c r="C357">
        <v>175.09</v>
      </c>
      <c r="D357">
        <v>18.98</v>
      </c>
      <c r="E357">
        <v>14.97</v>
      </c>
      <c r="F357">
        <v>21.83</v>
      </c>
      <c r="G357">
        <v>94.62</v>
      </c>
      <c r="H357">
        <v>16.46</v>
      </c>
      <c r="I357">
        <v>24.36</v>
      </c>
      <c r="J357">
        <v>38.36</v>
      </c>
    </row>
    <row r="358" spans="1:10" x14ac:dyDescent="0.45">
      <c r="A358" s="1">
        <v>44343</v>
      </c>
      <c r="B358">
        <v>172.87</v>
      </c>
      <c r="C358">
        <v>174.73</v>
      </c>
      <c r="D358">
        <v>18.940000000000001</v>
      </c>
      <c r="E358">
        <v>14.95</v>
      </c>
      <c r="F358">
        <v>21.82</v>
      </c>
      <c r="G358">
        <v>94.11</v>
      </c>
      <c r="H358">
        <v>16.420000000000002</v>
      </c>
      <c r="I358">
        <v>24.31</v>
      </c>
      <c r="J358">
        <v>38.299999999999997</v>
      </c>
    </row>
    <row r="359" spans="1:10" x14ac:dyDescent="0.45">
      <c r="A359" s="1">
        <v>44342</v>
      </c>
      <c r="B359">
        <v>172.89</v>
      </c>
      <c r="C359">
        <v>174.45</v>
      </c>
      <c r="D359">
        <v>18.98</v>
      </c>
      <c r="E359">
        <v>14.93</v>
      </c>
      <c r="F359">
        <v>21.78</v>
      </c>
      <c r="G359">
        <v>94.61</v>
      </c>
      <c r="H359">
        <v>16.25</v>
      </c>
      <c r="I359">
        <v>24.39</v>
      </c>
      <c r="J359">
        <v>38.159999999999997</v>
      </c>
    </row>
    <row r="360" spans="1:10" x14ac:dyDescent="0.45">
      <c r="A360" s="1">
        <v>44341</v>
      </c>
      <c r="B360">
        <v>171.87</v>
      </c>
      <c r="C360">
        <v>173.03</v>
      </c>
      <c r="D360">
        <v>18.899999999999999</v>
      </c>
      <c r="E360">
        <v>14.9</v>
      </c>
      <c r="F360">
        <v>21.71</v>
      </c>
      <c r="G360">
        <v>94.43</v>
      </c>
      <c r="H360">
        <v>16.16</v>
      </c>
      <c r="I360">
        <v>24.41</v>
      </c>
      <c r="J360">
        <v>38.08</v>
      </c>
    </row>
    <row r="361" spans="1:10" x14ac:dyDescent="0.45">
      <c r="A361" s="1">
        <v>44340</v>
      </c>
      <c r="B361">
        <v>171.92</v>
      </c>
      <c r="C361">
        <v>172.57</v>
      </c>
      <c r="D361">
        <v>18.850000000000001</v>
      </c>
      <c r="E361">
        <v>14.92</v>
      </c>
      <c r="F361">
        <v>21.77</v>
      </c>
      <c r="G361">
        <v>95.98</v>
      </c>
      <c r="H361">
        <v>16.36</v>
      </c>
      <c r="I361">
        <v>24.49</v>
      </c>
      <c r="J361">
        <v>38.32</v>
      </c>
    </row>
    <row r="362" spans="1:10" x14ac:dyDescent="0.45">
      <c r="A362" s="1">
        <v>44337</v>
      </c>
      <c r="B362">
        <v>169.52</v>
      </c>
      <c r="C362">
        <v>169.58</v>
      </c>
      <c r="D362">
        <v>18.510000000000002</v>
      </c>
      <c r="E362">
        <v>14.77</v>
      </c>
      <c r="F362">
        <v>21.55</v>
      </c>
      <c r="G362">
        <v>95.79</v>
      </c>
      <c r="H362">
        <v>16.29</v>
      </c>
      <c r="I362">
        <v>24.48</v>
      </c>
      <c r="J362">
        <v>38.17</v>
      </c>
    </row>
    <row r="363" spans="1:10" x14ac:dyDescent="0.45">
      <c r="A363" s="1">
        <v>44336</v>
      </c>
      <c r="B363">
        <v>170.33</v>
      </c>
      <c r="C363">
        <v>170.3</v>
      </c>
      <c r="D363">
        <v>18.61</v>
      </c>
      <c r="E363">
        <v>14.78</v>
      </c>
      <c r="F363">
        <v>21.57</v>
      </c>
      <c r="G363">
        <v>95.32</v>
      </c>
      <c r="H363">
        <v>16.350000000000001</v>
      </c>
      <c r="I363">
        <v>24.5</v>
      </c>
      <c r="J363">
        <v>38.07</v>
      </c>
    </row>
    <row r="364" spans="1:10" x14ac:dyDescent="0.45">
      <c r="A364" s="1">
        <v>44335</v>
      </c>
      <c r="B364">
        <v>167.36</v>
      </c>
      <c r="C364">
        <v>167.41</v>
      </c>
      <c r="D364">
        <v>18.29</v>
      </c>
      <c r="E364">
        <v>14.61</v>
      </c>
      <c r="F364">
        <v>21.36</v>
      </c>
      <c r="G364">
        <v>94.79</v>
      </c>
      <c r="H364">
        <v>16.32</v>
      </c>
      <c r="I364">
        <v>24.07</v>
      </c>
      <c r="J364">
        <v>37.869999999999997</v>
      </c>
    </row>
    <row r="365" spans="1:10" x14ac:dyDescent="0.45">
      <c r="A365" s="1">
        <v>44334</v>
      </c>
      <c r="B365">
        <v>167.37</v>
      </c>
      <c r="C365">
        <v>167.56</v>
      </c>
      <c r="D365">
        <v>18.260000000000002</v>
      </c>
      <c r="E365">
        <v>14.64</v>
      </c>
      <c r="F365">
        <v>21.44</v>
      </c>
      <c r="G365">
        <v>94.98</v>
      </c>
      <c r="H365">
        <v>16.829999999999998</v>
      </c>
      <c r="I365">
        <v>24.12</v>
      </c>
      <c r="J365">
        <v>38.090000000000003</v>
      </c>
    </row>
    <row r="366" spans="1:10" x14ac:dyDescent="0.45">
      <c r="A366" s="1">
        <v>44333</v>
      </c>
      <c r="B366">
        <v>168.32</v>
      </c>
      <c r="C366">
        <v>168.25</v>
      </c>
      <c r="D366">
        <v>18.36</v>
      </c>
      <c r="E366">
        <v>14.75</v>
      </c>
      <c r="F366">
        <v>21.64</v>
      </c>
      <c r="G366">
        <v>95.12</v>
      </c>
      <c r="H366">
        <v>16.95</v>
      </c>
      <c r="I366">
        <v>24.1</v>
      </c>
      <c r="J366">
        <v>38.35</v>
      </c>
    </row>
    <row r="367" spans="1:10" x14ac:dyDescent="0.45">
      <c r="A367" s="1">
        <v>44330</v>
      </c>
      <c r="B367">
        <v>168.96</v>
      </c>
      <c r="C367">
        <v>168.62</v>
      </c>
      <c r="D367">
        <v>18.420000000000002</v>
      </c>
      <c r="E367">
        <v>14.8</v>
      </c>
      <c r="F367">
        <v>21.65</v>
      </c>
      <c r="G367">
        <v>95.86</v>
      </c>
      <c r="H367">
        <v>16.77</v>
      </c>
      <c r="I367">
        <v>23.98</v>
      </c>
      <c r="J367">
        <v>38.380000000000003</v>
      </c>
    </row>
    <row r="368" spans="1:10" x14ac:dyDescent="0.45">
      <c r="A368" s="1">
        <v>44329</v>
      </c>
      <c r="B368">
        <v>165.11</v>
      </c>
      <c r="C368">
        <v>163.92</v>
      </c>
      <c r="D368">
        <v>17.989999999999998</v>
      </c>
      <c r="E368">
        <v>14.57</v>
      </c>
      <c r="F368">
        <v>21.31</v>
      </c>
      <c r="G368">
        <v>95.1</v>
      </c>
      <c r="H368">
        <v>16.59</v>
      </c>
      <c r="I368">
        <v>23.77</v>
      </c>
      <c r="J368">
        <v>37.96</v>
      </c>
    </row>
    <row r="369" spans="1:10" x14ac:dyDescent="0.45">
      <c r="A369" s="1">
        <v>44328</v>
      </c>
      <c r="B369">
        <v>163.92</v>
      </c>
      <c r="C369">
        <v>163.52000000000001</v>
      </c>
      <c r="D369">
        <v>17.850000000000001</v>
      </c>
      <c r="E369">
        <v>14.4</v>
      </c>
      <c r="F369">
        <v>21.05</v>
      </c>
      <c r="G369">
        <v>93.24</v>
      </c>
      <c r="H369">
        <v>16.690000000000001</v>
      </c>
      <c r="I369">
        <v>23.59</v>
      </c>
      <c r="J369">
        <v>37.380000000000003</v>
      </c>
    </row>
    <row r="370" spans="1:10" x14ac:dyDescent="0.45">
      <c r="A370" s="1">
        <v>44327</v>
      </c>
      <c r="B370">
        <v>168.41</v>
      </c>
      <c r="C370">
        <v>169.04</v>
      </c>
      <c r="D370">
        <v>18.37</v>
      </c>
      <c r="E370">
        <v>14.73</v>
      </c>
      <c r="F370">
        <v>21.51</v>
      </c>
      <c r="G370">
        <v>95.65</v>
      </c>
      <c r="H370">
        <v>16.96</v>
      </c>
      <c r="I370">
        <v>23.67</v>
      </c>
      <c r="J370">
        <v>38.06</v>
      </c>
    </row>
    <row r="371" spans="1:10" x14ac:dyDescent="0.45">
      <c r="A371" s="1">
        <v>44326</v>
      </c>
      <c r="B371">
        <v>168.57</v>
      </c>
      <c r="C371">
        <v>169.11</v>
      </c>
      <c r="D371">
        <v>18.39</v>
      </c>
      <c r="E371">
        <v>14.84</v>
      </c>
      <c r="F371">
        <v>21.7</v>
      </c>
      <c r="G371">
        <v>96.61</v>
      </c>
      <c r="H371">
        <v>17.05</v>
      </c>
      <c r="I371">
        <v>23.75</v>
      </c>
      <c r="J371">
        <v>38.57</v>
      </c>
    </row>
    <row r="372" spans="1:10" x14ac:dyDescent="0.45">
      <c r="A372" s="1">
        <v>44323</v>
      </c>
      <c r="B372">
        <v>172.98</v>
      </c>
      <c r="C372">
        <v>173.97</v>
      </c>
      <c r="D372">
        <v>18.87</v>
      </c>
      <c r="E372">
        <v>15.01</v>
      </c>
      <c r="F372">
        <v>21.94</v>
      </c>
      <c r="G372">
        <v>96.33</v>
      </c>
      <c r="H372">
        <v>17.07</v>
      </c>
      <c r="I372">
        <v>23.81</v>
      </c>
      <c r="J372">
        <v>38.590000000000003</v>
      </c>
    </row>
    <row r="373" spans="1:10" x14ac:dyDescent="0.45">
      <c r="A373" s="1">
        <v>44322</v>
      </c>
      <c r="B373">
        <v>171.44</v>
      </c>
      <c r="C373">
        <v>172.23</v>
      </c>
      <c r="D373">
        <v>18.72</v>
      </c>
      <c r="E373">
        <v>14.9</v>
      </c>
      <c r="F373">
        <v>21.75</v>
      </c>
      <c r="G373">
        <v>96.03</v>
      </c>
      <c r="H373">
        <v>16.75</v>
      </c>
      <c r="I373">
        <v>23.6</v>
      </c>
      <c r="J373">
        <v>38.200000000000003</v>
      </c>
    </row>
    <row r="374" spans="1:10" x14ac:dyDescent="0.45">
      <c r="A374" s="1">
        <v>44321</v>
      </c>
      <c r="B374">
        <v>170.79</v>
      </c>
      <c r="C374">
        <v>172.8</v>
      </c>
      <c r="D374">
        <v>18.670000000000002</v>
      </c>
      <c r="E374">
        <v>14.8</v>
      </c>
      <c r="F374">
        <v>21.55</v>
      </c>
      <c r="G374">
        <v>95.58</v>
      </c>
      <c r="H374">
        <v>16.600000000000001</v>
      </c>
      <c r="I374">
        <v>23.64</v>
      </c>
      <c r="J374">
        <v>37.880000000000003</v>
      </c>
    </row>
    <row r="375" spans="1:10" x14ac:dyDescent="0.45">
      <c r="A375" s="1">
        <v>44320</v>
      </c>
      <c r="B375">
        <v>171.43</v>
      </c>
      <c r="C375">
        <v>173.45</v>
      </c>
      <c r="D375">
        <v>18.739999999999998</v>
      </c>
      <c r="E375">
        <v>14.8</v>
      </c>
      <c r="F375">
        <v>21.52</v>
      </c>
      <c r="G375">
        <v>97.25</v>
      </c>
      <c r="H375">
        <v>16.2</v>
      </c>
      <c r="I375">
        <v>23.5</v>
      </c>
      <c r="J375">
        <v>37.71</v>
      </c>
    </row>
    <row r="376" spans="1:10" x14ac:dyDescent="0.45">
      <c r="A376" s="1">
        <v>44319</v>
      </c>
      <c r="B376">
        <v>174.73</v>
      </c>
      <c r="C376">
        <v>176.81</v>
      </c>
      <c r="D376">
        <v>19.07</v>
      </c>
      <c r="E376">
        <v>14.92</v>
      </c>
      <c r="F376">
        <v>21.66</v>
      </c>
      <c r="G376">
        <v>97.82</v>
      </c>
      <c r="H376">
        <v>16.13</v>
      </c>
      <c r="I376">
        <v>23.81</v>
      </c>
      <c r="J376">
        <v>37.65</v>
      </c>
    </row>
    <row r="377" spans="1:10" x14ac:dyDescent="0.45">
      <c r="A377" s="1">
        <v>44316</v>
      </c>
      <c r="B377">
        <v>175.58</v>
      </c>
      <c r="C377">
        <v>177.68</v>
      </c>
      <c r="D377">
        <v>19.18</v>
      </c>
      <c r="E377">
        <v>14.9</v>
      </c>
      <c r="F377">
        <v>21.57</v>
      </c>
      <c r="G377">
        <v>97.93</v>
      </c>
      <c r="H377">
        <v>15.83</v>
      </c>
      <c r="I377">
        <v>23.6</v>
      </c>
      <c r="J377">
        <v>37.299999999999997</v>
      </c>
    </row>
    <row r="378" spans="1:10" x14ac:dyDescent="0.45">
      <c r="A378" s="1">
        <v>44315</v>
      </c>
      <c r="B378">
        <v>177.08</v>
      </c>
      <c r="C378">
        <v>179.93</v>
      </c>
      <c r="D378">
        <v>19.489999999999998</v>
      </c>
      <c r="E378">
        <v>15.01</v>
      </c>
      <c r="F378">
        <v>21.74</v>
      </c>
      <c r="G378">
        <v>97.17</v>
      </c>
      <c r="H378">
        <v>16.18</v>
      </c>
      <c r="I378">
        <v>23.6</v>
      </c>
      <c r="J378">
        <v>37.51</v>
      </c>
    </row>
    <row r="379" spans="1:10" x14ac:dyDescent="0.45">
      <c r="A379" s="1">
        <v>44314</v>
      </c>
      <c r="B379">
        <v>176.67</v>
      </c>
      <c r="C379">
        <v>180.48</v>
      </c>
      <c r="D379">
        <v>19.41</v>
      </c>
      <c r="E379">
        <v>14.93</v>
      </c>
      <c r="F379">
        <v>21.62</v>
      </c>
      <c r="G379">
        <v>96.34</v>
      </c>
      <c r="H379">
        <v>16.23</v>
      </c>
      <c r="I379">
        <v>23.78</v>
      </c>
      <c r="J379">
        <v>37.11</v>
      </c>
    </row>
    <row r="380" spans="1:10" x14ac:dyDescent="0.45">
      <c r="A380" s="1">
        <v>44313</v>
      </c>
      <c r="B380">
        <v>177.18</v>
      </c>
      <c r="C380">
        <v>180.17</v>
      </c>
      <c r="D380">
        <v>19.39</v>
      </c>
      <c r="E380">
        <v>14.95</v>
      </c>
      <c r="F380">
        <v>21.61</v>
      </c>
      <c r="G380">
        <v>96.23</v>
      </c>
      <c r="H380">
        <v>16.05</v>
      </c>
      <c r="I380">
        <v>23.78</v>
      </c>
      <c r="J380">
        <v>37.090000000000003</v>
      </c>
    </row>
    <row r="381" spans="1:10" x14ac:dyDescent="0.45">
      <c r="A381" s="1">
        <v>44312</v>
      </c>
      <c r="B381">
        <v>177.79</v>
      </c>
      <c r="C381">
        <v>180.26</v>
      </c>
      <c r="D381">
        <v>19.41</v>
      </c>
      <c r="E381">
        <v>14.95</v>
      </c>
      <c r="F381">
        <v>21.61</v>
      </c>
      <c r="G381">
        <v>96.9</v>
      </c>
      <c r="H381">
        <v>16.010000000000002</v>
      </c>
      <c r="I381">
        <v>23.92</v>
      </c>
      <c r="J381">
        <v>37.08</v>
      </c>
    </row>
    <row r="382" spans="1:10" x14ac:dyDescent="0.45">
      <c r="A382" s="1">
        <v>44309</v>
      </c>
      <c r="B382">
        <v>176.26</v>
      </c>
      <c r="C382">
        <v>178.61</v>
      </c>
      <c r="D382">
        <v>19.260000000000002</v>
      </c>
      <c r="E382">
        <v>14.91</v>
      </c>
      <c r="F382">
        <v>21.55</v>
      </c>
      <c r="G382">
        <v>97.39</v>
      </c>
      <c r="H382">
        <v>15.76</v>
      </c>
      <c r="I382">
        <v>23.84</v>
      </c>
      <c r="J382">
        <v>37.130000000000003</v>
      </c>
    </row>
    <row r="383" spans="1:10" x14ac:dyDescent="0.45">
      <c r="A383" s="1">
        <v>44308</v>
      </c>
      <c r="B383">
        <v>173.76</v>
      </c>
      <c r="C383">
        <v>175.42</v>
      </c>
      <c r="D383">
        <v>18.95</v>
      </c>
      <c r="E383">
        <v>14.74</v>
      </c>
      <c r="F383">
        <v>21.3</v>
      </c>
      <c r="G383">
        <v>97.47</v>
      </c>
      <c r="H383">
        <v>15.56</v>
      </c>
      <c r="I383">
        <v>23.88</v>
      </c>
      <c r="J383">
        <v>36.82</v>
      </c>
    </row>
    <row r="384" spans="1:10" x14ac:dyDescent="0.45">
      <c r="A384" s="1">
        <v>44307</v>
      </c>
      <c r="B384">
        <v>175.42</v>
      </c>
      <c r="C384">
        <v>176.84</v>
      </c>
      <c r="D384">
        <v>19.149999999999999</v>
      </c>
      <c r="E384">
        <v>14.87</v>
      </c>
      <c r="F384">
        <v>21.49</v>
      </c>
      <c r="G384">
        <v>98.27</v>
      </c>
      <c r="H384">
        <v>15.74</v>
      </c>
      <c r="I384">
        <v>23.97</v>
      </c>
      <c r="J384">
        <v>37.1</v>
      </c>
    </row>
    <row r="385" spans="1:10" x14ac:dyDescent="0.45">
      <c r="A385" s="1">
        <v>44306</v>
      </c>
      <c r="B385">
        <v>173.36</v>
      </c>
      <c r="C385">
        <v>174.57</v>
      </c>
      <c r="D385">
        <v>18.93</v>
      </c>
      <c r="E385">
        <v>14.73</v>
      </c>
      <c r="F385">
        <v>21.31</v>
      </c>
      <c r="G385">
        <v>98.84</v>
      </c>
      <c r="H385">
        <v>15.53</v>
      </c>
      <c r="I385">
        <v>23.68</v>
      </c>
      <c r="J385">
        <v>36.74</v>
      </c>
    </row>
    <row r="386" spans="1:10" x14ac:dyDescent="0.45">
      <c r="A386" s="1">
        <v>44305</v>
      </c>
      <c r="B386">
        <v>174.97</v>
      </c>
      <c r="C386">
        <v>177.03</v>
      </c>
      <c r="D386">
        <v>19.149999999999999</v>
      </c>
      <c r="E386">
        <v>14.84</v>
      </c>
      <c r="F386">
        <v>21.52</v>
      </c>
      <c r="G386">
        <v>97.87</v>
      </c>
      <c r="H386">
        <v>15.84</v>
      </c>
      <c r="I386">
        <v>23.57</v>
      </c>
      <c r="J386">
        <v>36.979999999999997</v>
      </c>
    </row>
    <row r="387" spans="1:10" x14ac:dyDescent="0.45">
      <c r="A387" s="1">
        <v>44302</v>
      </c>
      <c r="B387">
        <v>176.7</v>
      </c>
      <c r="C387">
        <v>179.25</v>
      </c>
      <c r="D387">
        <v>19.36</v>
      </c>
      <c r="E387">
        <v>14.93</v>
      </c>
      <c r="F387">
        <v>21.63</v>
      </c>
      <c r="G387">
        <v>98.55</v>
      </c>
      <c r="H387">
        <v>15.87</v>
      </c>
      <c r="I387">
        <v>23.55</v>
      </c>
      <c r="J387">
        <v>37.090000000000003</v>
      </c>
    </row>
    <row r="388" spans="1:10" x14ac:dyDescent="0.45">
      <c r="A388" s="1">
        <v>44301</v>
      </c>
      <c r="B388">
        <v>176.53</v>
      </c>
      <c r="C388">
        <v>179.51</v>
      </c>
      <c r="D388">
        <v>19.39</v>
      </c>
      <c r="E388">
        <v>14.89</v>
      </c>
      <c r="F388">
        <v>21.56</v>
      </c>
      <c r="G388">
        <v>98.04</v>
      </c>
      <c r="H388">
        <v>15.8</v>
      </c>
      <c r="I388">
        <v>23.41</v>
      </c>
      <c r="J388">
        <v>36.82</v>
      </c>
    </row>
    <row r="389" spans="1:10" x14ac:dyDescent="0.45">
      <c r="A389" s="1">
        <v>44300</v>
      </c>
      <c r="B389">
        <v>174.25</v>
      </c>
      <c r="C389">
        <v>176.91</v>
      </c>
      <c r="D389">
        <v>19.100000000000001</v>
      </c>
      <c r="E389">
        <v>14.71</v>
      </c>
      <c r="F389">
        <v>21.34</v>
      </c>
      <c r="G389">
        <v>97.09</v>
      </c>
      <c r="H389">
        <v>15.62</v>
      </c>
      <c r="I389">
        <v>23.14</v>
      </c>
      <c r="J389">
        <v>36.51</v>
      </c>
    </row>
    <row r="390" spans="1:10" x14ac:dyDescent="0.45">
      <c r="A390" s="1">
        <v>44299</v>
      </c>
      <c r="B390">
        <v>175.99</v>
      </c>
      <c r="C390">
        <v>178.82</v>
      </c>
      <c r="D390">
        <v>19.3</v>
      </c>
      <c r="E390">
        <v>14.78</v>
      </c>
      <c r="F390">
        <v>21.4</v>
      </c>
      <c r="G390">
        <v>96.68</v>
      </c>
      <c r="H390">
        <v>15.25</v>
      </c>
      <c r="I390">
        <v>23</v>
      </c>
      <c r="J390">
        <v>36.39</v>
      </c>
    </row>
    <row r="391" spans="1:10" x14ac:dyDescent="0.45">
      <c r="A391" s="1">
        <v>44298</v>
      </c>
      <c r="B391">
        <v>174.15</v>
      </c>
      <c r="C391">
        <v>177.07</v>
      </c>
      <c r="D391">
        <v>19.16</v>
      </c>
      <c r="E391">
        <v>14.71</v>
      </c>
      <c r="F391">
        <v>21.33</v>
      </c>
      <c r="G391">
        <v>95.53</v>
      </c>
      <c r="H391">
        <v>15.21</v>
      </c>
      <c r="I391">
        <v>22.93</v>
      </c>
      <c r="J391">
        <v>36.5</v>
      </c>
    </row>
    <row r="392" spans="1:10" x14ac:dyDescent="0.45">
      <c r="A392" s="1">
        <v>44295</v>
      </c>
      <c r="B392">
        <v>174.78</v>
      </c>
      <c r="C392">
        <v>177.18</v>
      </c>
      <c r="D392">
        <v>19.22</v>
      </c>
      <c r="E392">
        <v>14.72</v>
      </c>
      <c r="F392">
        <v>21.34</v>
      </c>
      <c r="G392">
        <v>95.59</v>
      </c>
      <c r="H392">
        <v>15.38</v>
      </c>
      <c r="I392">
        <v>23.1</v>
      </c>
      <c r="J392">
        <v>36.46</v>
      </c>
    </row>
    <row r="393" spans="1:10" x14ac:dyDescent="0.45">
      <c r="A393" s="1">
        <v>44294</v>
      </c>
      <c r="B393">
        <v>173.88</v>
      </c>
      <c r="C393">
        <v>176.23</v>
      </c>
      <c r="D393">
        <v>19.100000000000001</v>
      </c>
      <c r="E393">
        <v>14.61</v>
      </c>
      <c r="F393">
        <v>21.18</v>
      </c>
      <c r="G393">
        <v>95.54</v>
      </c>
      <c r="H393">
        <v>15.43</v>
      </c>
      <c r="I393">
        <v>23.78</v>
      </c>
      <c r="J393">
        <v>36.19</v>
      </c>
    </row>
    <row r="394" spans="1:10" x14ac:dyDescent="0.45">
      <c r="A394" s="1">
        <v>44293</v>
      </c>
      <c r="B394">
        <v>172.1</v>
      </c>
      <c r="C394">
        <v>174.07</v>
      </c>
      <c r="D394">
        <v>18.899999999999999</v>
      </c>
      <c r="E394">
        <v>14.53</v>
      </c>
      <c r="F394">
        <v>21.09</v>
      </c>
      <c r="G394">
        <v>95.45</v>
      </c>
      <c r="H394">
        <v>15.41</v>
      </c>
      <c r="I394">
        <v>23.66</v>
      </c>
      <c r="J394">
        <v>36.229999999999997</v>
      </c>
    </row>
    <row r="395" spans="1:10" x14ac:dyDescent="0.45">
      <c r="A395" s="1">
        <v>44292</v>
      </c>
      <c r="B395">
        <v>172.22</v>
      </c>
      <c r="C395">
        <v>174.37</v>
      </c>
      <c r="D395">
        <v>18.850000000000001</v>
      </c>
      <c r="E395">
        <v>14.51</v>
      </c>
      <c r="F395">
        <v>21.04</v>
      </c>
      <c r="G395">
        <v>95.71</v>
      </c>
      <c r="H395">
        <v>15.4</v>
      </c>
      <c r="I395">
        <v>23.78</v>
      </c>
      <c r="J395">
        <v>36.25</v>
      </c>
    </row>
    <row r="396" spans="1:10" x14ac:dyDescent="0.45">
      <c r="A396" s="1">
        <v>44291</v>
      </c>
      <c r="B396">
        <v>172.3</v>
      </c>
      <c r="C396">
        <v>173.62</v>
      </c>
      <c r="D396">
        <v>18.84</v>
      </c>
      <c r="E396">
        <v>14.51</v>
      </c>
      <c r="F396">
        <v>21.07</v>
      </c>
      <c r="G396">
        <v>95.16</v>
      </c>
      <c r="H396">
        <v>15.38</v>
      </c>
      <c r="I396">
        <v>24</v>
      </c>
      <c r="J396">
        <v>36.32</v>
      </c>
    </row>
    <row r="397" spans="1:10" x14ac:dyDescent="0.45">
      <c r="A397" s="1">
        <v>44287</v>
      </c>
      <c r="B397">
        <v>169.44</v>
      </c>
      <c r="C397">
        <v>171.2</v>
      </c>
      <c r="D397">
        <v>18.489999999999998</v>
      </c>
      <c r="E397">
        <v>14.31</v>
      </c>
      <c r="F397">
        <v>20.78</v>
      </c>
      <c r="G397">
        <v>94.17</v>
      </c>
      <c r="H397">
        <v>15.26</v>
      </c>
      <c r="I397">
        <v>23.86</v>
      </c>
      <c r="J397">
        <v>35.89</v>
      </c>
    </row>
    <row r="398" spans="1:10" x14ac:dyDescent="0.45">
      <c r="A398" s="1">
        <v>44286</v>
      </c>
      <c r="B398">
        <v>166.5</v>
      </c>
      <c r="C398">
        <v>168.14</v>
      </c>
      <c r="D398">
        <v>18.12</v>
      </c>
      <c r="E398">
        <v>14.13</v>
      </c>
      <c r="F398">
        <v>20.52</v>
      </c>
      <c r="G398">
        <v>94.26</v>
      </c>
      <c r="H398">
        <v>15.06</v>
      </c>
      <c r="I398">
        <v>23.85</v>
      </c>
      <c r="J398">
        <v>35.68</v>
      </c>
    </row>
    <row r="399" spans="1:10" x14ac:dyDescent="0.45">
      <c r="A399" s="1">
        <v>44285</v>
      </c>
      <c r="B399">
        <v>163.97</v>
      </c>
      <c r="C399">
        <v>165.36</v>
      </c>
      <c r="D399">
        <v>17.89</v>
      </c>
      <c r="E399">
        <v>14.06</v>
      </c>
      <c r="F399">
        <v>20.45</v>
      </c>
      <c r="G399">
        <v>93.62</v>
      </c>
      <c r="H399">
        <v>15.13</v>
      </c>
      <c r="I399">
        <v>23.7</v>
      </c>
      <c r="J399">
        <v>35.840000000000003</v>
      </c>
    </row>
    <row r="400" spans="1:10" x14ac:dyDescent="0.45">
      <c r="A400" s="1">
        <v>44284</v>
      </c>
      <c r="B400">
        <v>164.14</v>
      </c>
      <c r="C400">
        <v>164.42</v>
      </c>
      <c r="D400">
        <v>17.91</v>
      </c>
      <c r="E400">
        <v>14.1</v>
      </c>
      <c r="F400">
        <v>20.49</v>
      </c>
      <c r="G400">
        <v>94.06</v>
      </c>
      <c r="H400">
        <v>15.16</v>
      </c>
      <c r="I400">
        <v>23.77</v>
      </c>
      <c r="J400">
        <v>35.840000000000003</v>
      </c>
    </row>
    <row r="401" spans="1:10" x14ac:dyDescent="0.45">
      <c r="A401" s="1">
        <v>44281</v>
      </c>
      <c r="B401">
        <v>165.13</v>
      </c>
      <c r="C401">
        <v>165.96</v>
      </c>
      <c r="D401">
        <v>17.989999999999998</v>
      </c>
      <c r="E401">
        <v>14.13</v>
      </c>
      <c r="F401">
        <v>20.53</v>
      </c>
      <c r="G401">
        <v>93.52</v>
      </c>
      <c r="H401">
        <v>15.27</v>
      </c>
      <c r="I401">
        <v>23.78</v>
      </c>
      <c r="J401">
        <v>35.94</v>
      </c>
    </row>
    <row r="402" spans="1:10" x14ac:dyDescent="0.45">
      <c r="A402" s="1">
        <v>44280</v>
      </c>
      <c r="B402">
        <v>163.1</v>
      </c>
      <c r="C402">
        <v>163.72</v>
      </c>
      <c r="D402">
        <v>17.73</v>
      </c>
      <c r="E402">
        <v>13.9</v>
      </c>
      <c r="F402">
        <v>20.16</v>
      </c>
      <c r="G402">
        <v>93.17</v>
      </c>
      <c r="H402">
        <v>14.83</v>
      </c>
      <c r="I402">
        <v>23.56</v>
      </c>
      <c r="J402">
        <v>35.4</v>
      </c>
    </row>
    <row r="403" spans="1:10" x14ac:dyDescent="0.45">
      <c r="A403" s="1">
        <v>44279</v>
      </c>
      <c r="B403">
        <v>162.9</v>
      </c>
      <c r="C403">
        <v>163.16999999999999</v>
      </c>
      <c r="D403">
        <v>17.72</v>
      </c>
      <c r="E403">
        <v>13.84</v>
      </c>
      <c r="F403">
        <v>20.03</v>
      </c>
      <c r="G403">
        <v>91.9</v>
      </c>
      <c r="H403">
        <v>14.83</v>
      </c>
      <c r="I403">
        <v>23.36</v>
      </c>
      <c r="J403">
        <v>34.950000000000003</v>
      </c>
    </row>
    <row r="404" spans="1:10" x14ac:dyDescent="0.45">
      <c r="A404" s="1">
        <v>44278</v>
      </c>
      <c r="B404">
        <v>166.25</v>
      </c>
      <c r="C404">
        <v>167.33</v>
      </c>
      <c r="D404">
        <v>18.03</v>
      </c>
      <c r="E404">
        <v>13.94</v>
      </c>
      <c r="F404">
        <v>20.149999999999999</v>
      </c>
      <c r="G404">
        <v>91.76</v>
      </c>
      <c r="H404">
        <v>14.75</v>
      </c>
      <c r="I404">
        <v>23.67</v>
      </c>
      <c r="J404">
        <v>34.950000000000003</v>
      </c>
    </row>
    <row r="405" spans="1:10" x14ac:dyDescent="0.45">
      <c r="A405" s="1">
        <v>44277</v>
      </c>
      <c r="B405">
        <v>168.13</v>
      </c>
      <c r="C405">
        <v>169.73</v>
      </c>
      <c r="D405">
        <v>18.21</v>
      </c>
      <c r="E405">
        <v>14.04</v>
      </c>
      <c r="F405">
        <v>20.329999999999998</v>
      </c>
      <c r="G405">
        <v>91.17</v>
      </c>
      <c r="H405">
        <v>15.14</v>
      </c>
      <c r="I405">
        <v>24.24</v>
      </c>
      <c r="J405">
        <v>35.47</v>
      </c>
    </row>
    <row r="406" spans="1:10" x14ac:dyDescent="0.45">
      <c r="A406" s="1">
        <v>44274</v>
      </c>
      <c r="B406">
        <v>166.08</v>
      </c>
      <c r="C406">
        <v>168.48</v>
      </c>
      <c r="D406">
        <v>18.03</v>
      </c>
      <c r="E406">
        <v>13.94</v>
      </c>
      <c r="F406">
        <v>20.21</v>
      </c>
      <c r="G406">
        <v>91.59</v>
      </c>
      <c r="H406">
        <v>15.25</v>
      </c>
      <c r="I406">
        <v>24</v>
      </c>
      <c r="J406">
        <v>35.5</v>
      </c>
    </row>
    <row r="407" spans="1:10" x14ac:dyDescent="0.45">
      <c r="A407" s="1">
        <v>44273</v>
      </c>
      <c r="B407">
        <v>164.82</v>
      </c>
      <c r="C407">
        <v>166.58</v>
      </c>
      <c r="D407">
        <v>17.899999999999999</v>
      </c>
      <c r="E407">
        <v>13.93</v>
      </c>
      <c r="F407">
        <v>20.190000000000001</v>
      </c>
      <c r="G407">
        <v>91.18</v>
      </c>
      <c r="H407">
        <v>15.32</v>
      </c>
      <c r="I407">
        <v>23.84</v>
      </c>
      <c r="J407">
        <v>35.590000000000003</v>
      </c>
    </row>
    <row r="408" spans="1:10" x14ac:dyDescent="0.45">
      <c r="A408" s="1">
        <v>44272</v>
      </c>
      <c r="B408">
        <v>169.97</v>
      </c>
      <c r="C408">
        <v>172.33</v>
      </c>
      <c r="D408">
        <v>18.440000000000001</v>
      </c>
      <c r="E408">
        <v>14.17</v>
      </c>
      <c r="F408">
        <v>20.55</v>
      </c>
      <c r="G408">
        <v>92.32</v>
      </c>
      <c r="H408">
        <v>15.62</v>
      </c>
      <c r="I408">
        <v>24.17</v>
      </c>
      <c r="J408">
        <v>35.71</v>
      </c>
    </row>
    <row r="409" spans="1:10" x14ac:dyDescent="0.45">
      <c r="A409" s="1">
        <v>44271</v>
      </c>
      <c r="B409">
        <v>169.29</v>
      </c>
      <c r="C409">
        <v>171.47</v>
      </c>
      <c r="D409">
        <v>18.36</v>
      </c>
      <c r="E409">
        <v>14.13</v>
      </c>
      <c r="F409">
        <v>20.46</v>
      </c>
      <c r="G409">
        <v>94.12</v>
      </c>
      <c r="H409">
        <v>15.57</v>
      </c>
      <c r="I409">
        <v>24.15</v>
      </c>
      <c r="J409">
        <v>35.6</v>
      </c>
    </row>
    <row r="410" spans="1:10" x14ac:dyDescent="0.45">
      <c r="A410" s="1">
        <v>44270</v>
      </c>
      <c r="B410">
        <v>169.13</v>
      </c>
      <c r="C410">
        <v>172.35</v>
      </c>
      <c r="D410">
        <v>18.34</v>
      </c>
      <c r="E410">
        <v>14.15</v>
      </c>
      <c r="F410">
        <v>20.52</v>
      </c>
      <c r="G410">
        <v>94.2</v>
      </c>
      <c r="H410">
        <v>15.83</v>
      </c>
      <c r="I410">
        <v>24.05</v>
      </c>
      <c r="J410">
        <v>35.74</v>
      </c>
    </row>
    <row r="411" spans="1:10" x14ac:dyDescent="0.45">
      <c r="A411" s="1">
        <v>44267</v>
      </c>
      <c r="B411">
        <v>167.38</v>
      </c>
      <c r="C411">
        <v>170.31</v>
      </c>
      <c r="D411">
        <v>18.13</v>
      </c>
      <c r="E411">
        <v>14.06</v>
      </c>
      <c r="F411">
        <v>20.36</v>
      </c>
      <c r="G411">
        <v>92.79</v>
      </c>
      <c r="H411">
        <v>15.92</v>
      </c>
      <c r="I411">
        <v>24.04</v>
      </c>
      <c r="J411">
        <v>35.479999999999997</v>
      </c>
    </row>
    <row r="412" spans="1:10" x14ac:dyDescent="0.45">
      <c r="A412" s="1">
        <v>44266</v>
      </c>
      <c r="B412">
        <v>168.35</v>
      </c>
      <c r="C412">
        <v>170.98</v>
      </c>
      <c r="D412">
        <v>18.28</v>
      </c>
      <c r="E412">
        <v>14.05</v>
      </c>
      <c r="F412">
        <v>20.350000000000001</v>
      </c>
      <c r="G412">
        <v>91.82</v>
      </c>
      <c r="H412">
        <v>15.91</v>
      </c>
      <c r="I412">
        <v>24.02</v>
      </c>
      <c r="J412">
        <v>35.229999999999997</v>
      </c>
    </row>
    <row r="413" spans="1:10" x14ac:dyDescent="0.45">
      <c r="A413" s="1">
        <v>44265</v>
      </c>
      <c r="B413">
        <v>164.2</v>
      </c>
      <c r="C413">
        <v>165.71</v>
      </c>
      <c r="D413">
        <v>17.8</v>
      </c>
      <c r="E413">
        <v>13.87</v>
      </c>
      <c r="F413">
        <v>20.100000000000001</v>
      </c>
      <c r="G413">
        <v>91.76</v>
      </c>
      <c r="H413">
        <v>15.61</v>
      </c>
      <c r="I413">
        <v>23.92</v>
      </c>
      <c r="J413">
        <v>35.08</v>
      </c>
    </row>
    <row r="414" spans="1:10" x14ac:dyDescent="0.45">
      <c r="A414" s="1">
        <v>44264</v>
      </c>
      <c r="B414">
        <v>164.26</v>
      </c>
      <c r="C414">
        <v>166.03</v>
      </c>
      <c r="D414">
        <v>17.87</v>
      </c>
      <c r="E414">
        <v>13.8</v>
      </c>
      <c r="F414">
        <v>19.98</v>
      </c>
      <c r="G414">
        <v>91.13</v>
      </c>
      <c r="H414">
        <v>15.47</v>
      </c>
      <c r="I414">
        <v>23.81</v>
      </c>
      <c r="J414">
        <v>34.64</v>
      </c>
    </row>
    <row r="415" spans="1:10" x14ac:dyDescent="0.45">
      <c r="A415" s="1">
        <v>44263</v>
      </c>
      <c r="B415">
        <v>158.41</v>
      </c>
      <c r="C415">
        <v>159.72999999999999</v>
      </c>
      <c r="D415">
        <v>17.32</v>
      </c>
      <c r="E415">
        <v>13.56</v>
      </c>
      <c r="F415">
        <v>19.690000000000001</v>
      </c>
      <c r="G415">
        <v>89.66</v>
      </c>
      <c r="H415">
        <v>15.48</v>
      </c>
      <c r="I415">
        <v>23.48</v>
      </c>
      <c r="J415">
        <v>34.67</v>
      </c>
    </row>
    <row r="416" spans="1:10" x14ac:dyDescent="0.45">
      <c r="A416" s="1">
        <v>44260</v>
      </c>
      <c r="B416">
        <v>162.32</v>
      </c>
      <c r="C416">
        <v>164.11</v>
      </c>
      <c r="D416">
        <v>17.8</v>
      </c>
      <c r="E416">
        <v>13.67</v>
      </c>
      <c r="F416">
        <v>19.78</v>
      </c>
      <c r="G416">
        <v>88.24</v>
      </c>
      <c r="H416">
        <v>15.46</v>
      </c>
      <c r="I416">
        <v>23.54</v>
      </c>
      <c r="J416">
        <v>34.35</v>
      </c>
    </row>
    <row r="417" spans="1:10" x14ac:dyDescent="0.45">
      <c r="A417" s="1">
        <v>44259</v>
      </c>
      <c r="B417">
        <v>159.84</v>
      </c>
      <c r="C417">
        <v>161.97</v>
      </c>
      <c r="D417">
        <v>17.5</v>
      </c>
      <c r="E417">
        <v>13.42</v>
      </c>
      <c r="F417">
        <v>19.43</v>
      </c>
      <c r="G417">
        <v>87.2</v>
      </c>
      <c r="H417">
        <v>15.09</v>
      </c>
      <c r="I417">
        <v>23.21</v>
      </c>
      <c r="J417">
        <v>33.6</v>
      </c>
    </row>
    <row r="418" spans="1:10" x14ac:dyDescent="0.45">
      <c r="A418" s="1">
        <v>44258</v>
      </c>
      <c r="B418">
        <v>163.27000000000001</v>
      </c>
      <c r="C418">
        <v>166.71</v>
      </c>
      <c r="D418">
        <v>17.86</v>
      </c>
      <c r="E418">
        <v>13.62</v>
      </c>
      <c r="F418">
        <v>19.670000000000002</v>
      </c>
      <c r="G418">
        <v>87.21</v>
      </c>
      <c r="H418">
        <v>15.34</v>
      </c>
      <c r="I418">
        <v>23.57</v>
      </c>
      <c r="J418">
        <v>33.880000000000003</v>
      </c>
    </row>
    <row r="419" spans="1:10" x14ac:dyDescent="0.45">
      <c r="A419" s="1">
        <v>44257</v>
      </c>
      <c r="B419">
        <v>167.8</v>
      </c>
      <c r="C419">
        <v>171.44</v>
      </c>
      <c r="D419">
        <v>18.3</v>
      </c>
      <c r="E419">
        <v>13.84</v>
      </c>
      <c r="F419">
        <v>19.899999999999999</v>
      </c>
      <c r="G419">
        <v>88</v>
      </c>
      <c r="H419">
        <v>15.32</v>
      </c>
      <c r="I419">
        <v>23.98</v>
      </c>
      <c r="J419">
        <v>33.9</v>
      </c>
    </row>
    <row r="420" spans="1:10" x14ac:dyDescent="0.45">
      <c r="A420" s="1">
        <v>44256</v>
      </c>
      <c r="B420">
        <v>170.69</v>
      </c>
      <c r="C420">
        <v>174.31</v>
      </c>
      <c r="D420">
        <v>18.57</v>
      </c>
      <c r="E420">
        <v>13.97</v>
      </c>
      <c r="F420">
        <v>20.07</v>
      </c>
      <c r="G420">
        <v>88.6</v>
      </c>
      <c r="H420">
        <v>15.24</v>
      </c>
      <c r="I420">
        <v>24.1</v>
      </c>
      <c r="J420">
        <v>33.950000000000003</v>
      </c>
    </row>
    <row r="421" spans="1:10" x14ac:dyDescent="0.45">
      <c r="A421" s="1">
        <v>44253</v>
      </c>
      <c r="B421">
        <v>165.71</v>
      </c>
      <c r="C421">
        <v>168.92</v>
      </c>
      <c r="D421">
        <v>18.09</v>
      </c>
      <c r="E421">
        <v>13.63</v>
      </c>
      <c r="F421">
        <v>19.61</v>
      </c>
      <c r="G421">
        <v>86.55</v>
      </c>
      <c r="H421">
        <v>14.92</v>
      </c>
      <c r="I421">
        <v>23.92</v>
      </c>
      <c r="J421">
        <v>33.24</v>
      </c>
    </row>
    <row r="422" spans="1:10" x14ac:dyDescent="0.45">
      <c r="A422" s="1">
        <v>44252</v>
      </c>
      <c r="B422">
        <v>164.79</v>
      </c>
      <c r="C422">
        <v>167.55</v>
      </c>
      <c r="D422">
        <v>17.989999999999998</v>
      </c>
      <c r="E422">
        <v>13.67</v>
      </c>
      <c r="F422">
        <v>19.71</v>
      </c>
      <c r="G422">
        <v>88.41</v>
      </c>
      <c r="H422">
        <v>15.32</v>
      </c>
      <c r="I422">
        <v>24.13</v>
      </c>
      <c r="J422">
        <v>33.6</v>
      </c>
    </row>
    <row r="423" spans="1:10" x14ac:dyDescent="0.45">
      <c r="A423" s="1">
        <v>44251</v>
      </c>
      <c r="B423">
        <v>170.79</v>
      </c>
      <c r="C423">
        <v>174.6</v>
      </c>
      <c r="D423">
        <v>18.670000000000002</v>
      </c>
      <c r="E423">
        <v>14.03</v>
      </c>
      <c r="F423">
        <v>20.23</v>
      </c>
      <c r="G423">
        <v>90.18</v>
      </c>
      <c r="H423">
        <v>15.67</v>
      </c>
      <c r="I423">
        <v>24.36</v>
      </c>
      <c r="J423">
        <v>34.26</v>
      </c>
    </row>
    <row r="424" spans="1:10" x14ac:dyDescent="0.45">
      <c r="A424" s="1">
        <v>44250</v>
      </c>
      <c r="B424">
        <v>169.11</v>
      </c>
      <c r="C424">
        <v>173.32</v>
      </c>
      <c r="D424">
        <v>18.5</v>
      </c>
      <c r="E424">
        <v>13.89</v>
      </c>
      <c r="F424">
        <v>19.97</v>
      </c>
      <c r="G424">
        <v>90.2</v>
      </c>
      <c r="H424">
        <v>15.39</v>
      </c>
      <c r="I424">
        <v>24.05</v>
      </c>
      <c r="J424">
        <v>33.97</v>
      </c>
    </row>
    <row r="425" spans="1:10" x14ac:dyDescent="0.45">
      <c r="A425" s="1">
        <v>44249</v>
      </c>
      <c r="B425">
        <v>169.95</v>
      </c>
      <c r="C425">
        <v>174.22</v>
      </c>
      <c r="D425">
        <v>18.510000000000002</v>
      </c>
      <c r="E425">
        <v>13.88</v>
      </c>
      <c r="F425">
        <v>19.93</v>
      </c>
      <c r="G425">
        <v>89.84</v>
      </c>
      <c r="H425">
        <v>15.3</v>
      </c>
      <c r="I425">
        <v>24.22</v>
      </c>
      <c r="J425">
        <v>33.840000000000003</v>
      </c>
    </row>
    <row r="426" spans="1:10" x14ac:dyDescent="0.45">
      <c r="A426" s="1">
        <v>44246</v>
      </c>
      <c r="B426">
        <v>174.25</v>
      </c>
      <c r="C426">
        <v>179.25</v>
      </c>
      <c r="D426">
        <v>18.96</v>
      </c>
      <c r="E426">
        <v>14.03</v>
      </c>
      <c r="F426">
        <v>20.05</v>
      </c>
      <c r="G426">
        <v>91.87</v>
      </c>
      <c r="H426">
        <v>15.17</v>
      </c>
      <c r="I426">
        <v>24.37</v>
      </c>
      <c r="J426">
        <v>33.72</v>
      </c>
    </row>
    <row r="427" spans="1:10" x14ac:dyDescent="0.45">
      <c r="A427" s="1">
        <v>44245</v>
      </c>
      <c r="B427">
        <v>174.14</v>
      </c>
      <c r="C427">
        <v>178.35</v>
      </c>
      <c r="D427">
        <v>18.95</v>
      </c>
      <c r="E427">
        <v>14.05</v>
      </c>
      <c r="F427">
        <v>20.03</v>
      </c>
      <c r="G427">
        <v>92.89</v>
      </c>
      <c r="H427">
        <v>14.85</v>
      </c>
      <c r="I427">
        <v>24.54</v>
      </c>
      <c r="J427">
        <v>33.590000000000003</v>
      </c>
    </row>
    <row r="428" spans="1:10" x14ac:dyDescent="0.45">
      <c r="A428" s="1">
        <v>44244</v>
      </c>
      <c r="B428">
        <v>175.39</v>
      </c>
      <c r="C428">
        <v>179.97</v>
      </c>
      <c r="D428">
        <v>19.059999999999999</v>
      </c>
      <c r="E428">
        <v>14.11</v>
      </c>
      <c r="F428">
        <v>20.16</v>
      </c>
      <c r="G428">
        <v>92.55</v>
      </c>
      <c r="H428">
        <v>14.98</v>
      </c>
      <c r="I428">
        <v>24.75</v>
      </c>
      <c r="J428">
        <v>33.71</v>
      </c>
    </row>
    <row r="429" spans="1:10" x14ac:dyDescent="0.45">
      <c r="A429" s="1">
        <v>44243</v>
      </c>
      <c r="B429">
        <v>176.37</v>
      </c>
      <c r="C429">
        <v>181.19</v>
      </c>
      <c r="D429">
        <v>19.170000000000002</v>
      </c>
      <c r="E429">
        <v>14.12</v>
      </c>
      <c r="F429">
        <v>20.18</v>
      </c>
      <c r="G429">
        <v>92.58</v>
      </c>
      <c r="H429">
        <v>14.98</v>
      </c>
      <c r="I429">
        <v>24.61</v>
      </c>
      <c r="J429">
        <v>33.700000000000003</v>
      </c>
    </row>
    <row r="430" spans="1:10" x14ac:dyDescent="0.45">
      <c r="A430" s="1">
        <v>44239</v>
      </c>
      <c r="B430">
        <v>176.98</v>
      </c>
      <c r="C430">
        <v>181.65</v>
      </c>
      <c r="D430">
        <v>19.190000000000001</v>
      </c>
      <c r="E430">
        <v>14.13</v>
      </c>
      <c r="F430">
        <v>20.14</v>
      </c>
      <c r="G430">
        <v>93.3</v>
      </c>
      <c r="H430">
        <v>14.61</v>
      </c>
      <c r="I430">
        <v>24.84</v>
      </c>
      <c r="J430">
        <v>33.67</v>
      </c>
    </row>
    <row r="431" spans="1:10" x14ac:dyDescent="0.45">
      <c r="A431" s="1">
        <v>44238</v>
      </c>
      <c r="B431">
        <v>176.1</v>
      </c>
      <c r="C431">
        <v>180.79</v>
      </c>
      <c r="D431">
        <v>19.09</v>
      </c>
      <c r="E431">
        <v>14.06</v>
      </c>
      <c r="F431">
        <v>20.05</v>
      </c>
      <c r="G431">
        <v>93.84</v>
      </c>
      <c r="H431">
        <v>14.44</v>
      </c>
      <c r="I431">
        <v>24.66</v>
      </c>
      <c r="J431">
        <v>33.619999999999997</v>
      </c>
    </row>
    <row r="432" spans="1:10" x14ac:dyDescent="0.45">
      <c r="A432" s="1">
        <v>44237</v>
      </c>
      <c r="B432">
        <v>175.38</v>
      </c>
      <c r="C432">
        <v>179.88</v>
      </c>
      <c r="D432">
        <v>18.96</v>
      </c>
      <c r="E432">
        <v>14.03</v>
      </c>
      <c r="F432">
        <v>20.02</v>
      </c>
      <c r="G432">
        <v>94.29</v>
      </c>
      <c r="H432">
        <v>14.46</v>
      </c>
      <c r="I432">
        <v>24.61</v>
      </c>
      <c r="J432">
        <v>33.630000000000003</v>
      </c>
    </row>
    <row r="433" spans="1:10" x14ac:dyDescent="0.45">
      <c r="A433" s="1">
        <v>44236</v>
      </c>
      <c r="B433">
        <v>175.84</v>
      </c>
      <c r="C433">
        <v>179.38</v>
      </c>
      <c r="D433">
        <v>18.89</v>
      </c>
      <c r="E433">
        <v>14.03</v>
      </c>
      <c r="F433">
        <v>20.03</v>
      </c>
      <c r="G433">
        <v>93.99</v>
      </c>
      <c r="H433">
        <v>14.4</v>
      </c>
      <c r="I433">
        <v>24.58</v>
      </c>
      <c r="J433">
        <v>33.619999999999997</v>
      </c>
    </row>
    <row r="434" spans="1:10" x14ac:dyDescent="0.45">
      <c r="A434" s="1">
        <v>44235</v>
      </c>
      <c r="B434">
        <v>175.61</v>
      </c>
      <c r="C434">
        <v>179.25</v>
      </c>
      <c r="D434">
        <v>18.899999999999999</v>
      </c>
      <c r="E434">
        <v>14.04</v>
      </c>
      <c r="F434">
        <v>20.079999999999998</v>
      </c>
      <c r="G434">
        <v>93.79</v>
      </c>
      <c r="H434">
        <v>14.44</v>
      </c>
      <c r="I434">
        <v>24.52</v>
      </c>
      <c r="J434">
        <v>33.549999999999997</v>
      </c>
    </row>
    <row r="435" spans="1:10" x14ac:dyDescent="0.45">
      <c r="A435" s="1">
        <v>44232</v>
      </c>
      <c r="B435">
        <v>173.96</v>
      </c>
      <c r="C435">
        <v>177.5</v>
      </c>
      <c r="D435">
        <v>18.75</v>
      </c>
      <c r="E435">
        <v>13.94</v>
      </c>
      <c r="F435">
        <v>19.899999999999999</v>
      </c>
      <c r="G435">
        <v>94.09</v>
      </c>
      <c r="H435">
        <v>14.11</v>
      </c>
      <c r="I435">
        <v>24.33</v>
      </c>
      <c r="J435">
        <v>33.26</v>
      </c>
    </row>
    <row r="436" spans="1:10" x14ac:dyDescent="0.45">
      <c r="A436" s="1">
        <v>44231</v>
      </c>
      <c r="B436">
        <v>172.94</v>
      </c>
      <c r="C436">
        <v>175.82</v>
      </c>
      <c r="D436">
        <v>18.63</v>
      </c>
      <c r="E436">
        <v>13.88</v>
      </c>
      <c r="F436">
        <v>19.82</v>
      </c>
      <c r="G436">
        <v>93.65</v>
      </c>
      <c r="H436">
        <v>13.88</v>
      </c>
      <c r="I436">
        <v>24.24</v>
      </c>
      <c r="J436">
        <v>33.229999999999997</v>
      </c>
    </row>
    <row r="437" spans="1:10" x14ac:dyDescent="0.45">
      <c r="A437" s="1">
        <v>44230</v>
      </c>
      <c r="B437">
        <v>170.82</v>
      </c>
      <c r="C437">
        <v>173.39</v>
      </c>
      <c r="D437">
        <v>18.43</v>
      </c>
      <c r="E437">
        <v>13.72</v>
      </c>
      <c r="F437">
        <v>19.61</v>
      </c>
      <c r="G437">
        <v>92.86</v>
      </c>
      <c r="H437">
        <v>13.83</v>
      </c>
      <c r="I437">
        <v>24.05</v>
      </c>
      <c r="J437">
        <v>32.93</v>
      </c>
    </row>
    <row r="438" spans="1:10" x14ac:dyDescent="0.45">
      <c r="A438" s="1">
        <v>44229</v>
      </c>
      <c r="B438">
        <v>170.85</v>
      </c>
      <c r="C438">
        <v>172.85</v>
      </c>
      <c r="D438">
        <v>18.38</v>
      </c>
      <c r="E438">
        <v>13.72</v>
      </c>
      <c r="F438">
        <v>19.53</v>
      </c>
      <c r="G438">
        <v>92.89</v>
      </c>
      <c r="H438">
        <v>13.65</v>
      </c>
      <c r="I438">
        <v>24.15</v>
      </c>
      <c r="J438">
        <v>32.75</v>
      </c>
    </row>
    <row r="439" spans="1:10" x14ac:dyDescent="0.45">
      <c r="A439" s="1">
        <v>44228</v>
      </c>
      <c r="B439">
        <v>168.22</v>
      </c>
      <c r="C439">
        <v>169.41</v>
      </c>
      <c r="D439">
        <v>18.05</v>
      </c>
      <c r="E439">
        <v>13.52</v>
      </c>
      <c r="F439">
        <v>19.27</v>
      </c>
      <c r="G439">
        <v>91.66</v>
      </c>
      <c r="H439">
        <v>13.63</v>
      </c>
      <c r="I439">
        <v>24.1</v>
      </c>
      <c r="J439">
        <v>32.35</v>
      </c>
    </row>
    <row r="440" spans="1:10" x14ac:dyDescent="0.45">
      <c r="A440" s="1">
        <v>44225</v>
      </c>
      <c r="B440">
        <v>164.06</v>
      </c>
      <c r="C440">
        <v>164.99</v>
      </c>
      <c r="D440">
        <v>17.600000000000001</v>
      </c>
      <c r="E440">
        <v>13.3</v>
      </c>
      <c r="F440">
        <v>18.95</v>
      </c>
      <c r="G440">
        <v>90.98</v>
      </c>
      <c r="H440">
        <v>13.38</v>
      </c>
      <c r="I440">
        <v>24</v>
      </c>
      <c r="J440">
        <v>32.07</v>
      </c>
    </row>
    <row r="441" spans="1:10" x14ac:dyDescent="0.45">
      <c r="A441" s="1">
        <v>44224</v>
      </c>
      <c r="B441">
        <v>167.4</v>
      </c>
      <c r="C441">
        <v>168.19</v>
      </c>
      <c r="D441">
        <v>17.97</v>
      </c>
      <c r="E441">
        <v>13.56</v>
      </c>
      <c r="F441">
        <v>19.309999999999999</v>
      </c>
      <c r="G441">
        <v>91.6</v>
      </c>
      <c r="H441">
        <v>13.74</v>
      </c>
      <c r="I441">
        <v>24.33</v>
      </c>
      <c r="J441">
        <v>32.700000000000003</v>
      </c>
    </row>
    <row r="442" spans="1:10" x14ac:dyDescent="0.45">
      <c r="A442" s="1">
        <v>44223</v>
      </c>
      <c r="B442">
        <v>166.58</v>
      </c>
      <c r="C442">
        <v>166.19</v>
      </c>
      <c r="D442">
        <v>17.809999999999999</v>
      </c>
      <c r="E442">
        <v>13.41</v>
      </c>
      <c r="F442">
        <v>19.11</v>
      </c>
      <c r="G442">
        <v>89.28</v>
      </c>
      <c r="H442">
        <v>13.51</v>
      </c>
      <c r="I442">
        <v>24.19</v>
      </c>
      <c r="J442">
        <v>32.24</v>
      </c>
    </row>
    <row r="443" spans="1:10" x14ac:dyDescent="0.45">
      <c r="A443" s="1">
        <v>44222</v>
      </c>
      <c r="B443">
        <v>171.05</v>
      </c>
      <c r="C443">
        <v>171.91</v>
      </c>
      <c r="D443">
        <v>18.350000000000001</v>
      </c>
      <c r="E443">
        <v>13.77</v>
      </c>
      <c r="F443">
        <v>19.63</v>
      </c>
      <c r="G443">
        <v>92.69</v>
      </c>
      <c r="H443">
        <v>14</v>
      </c>
      <c r="I443">
        <v>25.01</v>
      </c>
      <c r="J443">
        <v>33.06</v>
      </c>
    </row>
    <row r="444" spans="1:10" x14ac:dyDescent="0.45">
      <c r="A444" s="1">
        <v>44221</v>
      </c>
      <c r="B444">
        <v>171.18</v>
      </c>
      <c r="C444">
        <v>173.35</v>
      </c>
      <c r="D444">
        <v>18.440000000000001</v>
      </c>
      <c r="E444">
        <v>13.8</v>
      </c>
      <c r="F444">
        <v>19.7</v>
      </c>
      <c r="G444">
        <v>94.15</v>
      </c>
      <c r="H444">
        <v>14.14</v>
      </c>
      <c r="I444">
        <v>25.14</v>
      </c>
      <c r="J444">
        <v>33.270000000000003</v>
      </c>
    </row>
    <row r="445" spans="1:10" x14ac:dyDescent="0.45">
      <c r="A445" s="1">
        <v>44218</v>
      </c>
      <c r="B445">
        <v>170.01</v>
      </c>
      <c r="C445">
        <v>172.88</v>
      </c>
      <c r="D445">
        <v>18.34</v>
      </c>
      <c r="E445">
        <v>13.75</v>
      </c>
      <c r="F445">
        <v>19.649999999999999</v>
      </c>
      <c r="G445">
        <v>93.43</v>
      </c>
      <c r="H445">
        <v>14.25</v>
      </c>
      <c r="I445">
        <v>24.88</v>
      </c>
      <c r="J445">
        <v>33.299999999999997</v>
      </c>
    </row>
    <row r="446" spans="1:10" x14ac:dyDescent="0.45">
      <c r="A446" s="1">
        <v>44217</v>
      </c>
      <c r="B446">
        <v>169.85</v>
      </c>
      <c r="C446">
        <v>172.7</v>
      </c>
      <c r="D446">
        <v>18.37</v>
      </c>
      <c r="E446">
        <v>13.79</v>
      </c>
      <c r="F446">
        <v>19.670000000000002</v>
      </c>
      <c r="G446">
        <v>93.45</v>
      </c>
      <c r="H446">
        <v>14.41</v>
      </c>
      <c r="I446">
        <v>24.71</v>
      </c>
      <c r="J446">
        <v>33.42</v>
      </c>
    </row>
    <row r="447" spans="1:10" x14ac:dyDescent="0.45">
      <c r="A447" s="1">
        <v>44216</v>
      </c>
      <c r="B447">
        <v>168.93</v>
      </c>
      <c r="C447">
        <v>171.72</v>
      </c>
      <c r="D447">
        <v>18.25</v>
      </c>
      <c r="E447">
        <v>13.79</v>
      </c>
      <c r="F447">
        <v>19.68</v>
      </c>
      <c r="G447">
        <v>93.99</v>
      </c>
      <c r="H447">
        <v>14.56</v>
      </c>
      <c r="I447">
        <v>24.85</v>
      </c>
      <c r="J447">
        <v>33.61</v>
      </c>
    </row>
    <row r="448" spans="1:10" x14ac:dyDescent="0.45">
      <c r="A448" s="1">
        <v>44215</v>
      </c>
      <c r="B448">
        <v>165.65</v>
      </c>
      <c r="C448">
        <v>168.41</v>
      </c>
      <c r="D448">
        <v>17.850000000000001</v>
      </c>
      <c r="E448">
        <v>13.6</v>
      </c>
      <c r="F448">
        <v>19.38</v>
      </c>
      <c r="G448">
        <v>93.57</v>
      </c>
      <c r="H448">
        <v>14.43</v>
      </c>
      <c r="I448">
        <v>24.89</v>
      </c>
      <c r="J448">
        <v>33.450000000000003</v>
      </c>
    </row>
    <row r="449" spans="1:10" x14ac:dyDescent="0.45">
      <c r="A449" s="1">
        <v>44211</v>
      </c>
      <c r="B449">
        <v>163.15</v>
      </c>
      <c r="C449">
        <v>165.9</v>
      </c>
      <c r="D449">
        <v>17.559999999999999</v>
      </c>
      <c r="E449">
        <v>13.49</v>
      </c>
      <c r="F449">
        <v>19.22</v>
      </c>
      <c r="G449">
        <v>93.73</v>
      </c>
      <c r="H449">
        <v>14.31</v>
      </c>
      <c r="I449">
        <v>24.52</v>
      </c>
      <c r="J449">
        <v>33.340000000000003</v>
      </c>
    </row>
    <row r="450" spans="1:10" x14ac:dyDescent="0.45">
      <c r="A450" s="1">
        <v>44210</v>
      </c>
      <c r="B450">
        <v>164.58</v>
      </c>
      <c r="C450">
        <v>167.71</v>
      </c>
      <c r="D450">
        <v>17.670000000000002</v>
      </c>
      <c r="E450">
        <v>13.58</v>
      </c>
      <c r="F450">
        <v>19.39</v>
      </c>
      <c r="G450">
        <v>92.84</v>
      </c>
      <c r="H450">
        <v>14.71</v>
      </c>
      <c r="I450">
        <v>24.43</v>
      </c>
      <c r="J450">
        <v>33.51</v>
      </c>
    </row>
    <row r="451" spans="1:10" x14ac:dyDescent="0.45">
      <c r="A451" s="1">
        <v>44209</v>
      </c>
      <c r="B451">
        <v>164.81</v>
      </c>
      <c r="C451">
        <v>168.19</v>
      </c>
      <c r="D451">
        <v>17.75</v>
      </c>
      <c r="E451">
        <v>13.64</v>
      </c>
      <c r="F451">
        <v>19.41</v>
      </c>
      <c r="G451">
        <v>93.22</v>
      </c>
      <c r="H451">
        <v>14.48</v>
      </c>
      <c r="I451">
        <v>24.19</v>
      </c>
      <c r="J451">
        <v>33.44</v>
      </c>
    </row>
    <row r="452" spans="1:10" x14ac:dyDescent="0.45">
      <c r="A452" s="1">
        <v>44208</v>
      </c>
      <c r="B452">
        <v>164.11</v>
      </c>
      <c r="C452">
        <v>167.51</v>
      </c>
      <c r="D452">
        <v>17.66</v>
      </c>
      <c r="E452">
        <v>13.61</v>
      </c>
      <c r="F452">
        <v>19.39</v>
      </c>
      <c r="G452">
        <v>91.81</v>
      </c>
      <c r="H452">
        <v>14.6</v>
      </c>
      <c r="I452">
        <v>24.16</v>
      </c>
      <c r="J452">
        <v>33.56</v>
      </c>
    </row>
    <row r="453" spans="1:10" x14ac:dyDescent="0.45">
      <c r="A453" s="1">
        <v>44207</v>
      </c>
      <c r="B453">
        <v>163.66</v>
      </c>
      <c r="C453">
        <v>166.03</v>
      </c>
      <c r="D453">
        <v>17.649999999999999</v>
      </c>
      <c r="E453">
        <v>13.6</v>
      </c>
      <c r="F453">
        <v>19.34</v>
      </c>
      <c r="G453">
        <v>91.76</v>
      </c>
      <c r="H453">
        <v>14.37</v>
      </c>
      <c r="I453">
        <v>24.27</v>
      </c>
      <c r="J453">
        <v>33.39</v>
      </c>
    </row>
    <row r="454" spans="1:10" x14ac:dyDescent="0.45">
      <c r="A454" s="1">
        <v>44204</v>
      </c>
      <c r="B454">
        <v>165.75</v>
      </c>
      <c r="C454">
        <v>167.64</v>
      </c>
      <c r="D454">
        <v>17.899999999999999</v>
      </c>
      <c r="E454">
        <v>13.69</v>
      </c>
      <c r="F454">
        <v>19.45</v>
      </c>
      <c r="G454">
        <v>92.36</v>
      </c>
      <c r="H454">
        <v>14.55</v>
      </c>
      <c r="I454">
        <v>23.93</v>
      </c>
      <c r="J454">
        <v>33.39</v>
      </c>
    </row>
    <row r="455" spans="1:10" x14ac:dyDescent="0.45">
      <c r="A455" s="1">
        <v>44203</v>
      </c>
      <c r="B455">
        <v>164.05</v>
      </c>
      <c r="C455">
        <v>166.25</v>
      </c>
      <c r="D455">
        <v>17.73</v>
      </c>
      <c r="E455">
        <v>13.61</v>
      </c>
      <c r="F455">
        <v>19.38</v>
      </c>
      <c r="G455">
        <v>91.63</v>
      </c>
      <c r="H455">
        <v>14.6</v>
      </c>
      <c r="I455">
        <v>23.85</v>
      </c>
      <c r="J455">
        <v>33.35</v>
      </c>
    </row>
    <row r="456" spans="1:10" x14ac:dyDescent="0.45">
      <c r="A456" s="1">
        <v>44202</v>
      </c>
      <c r="B456">
        <v>159.94999999999999</v>
      </c>
      <c r="C456">
        <v>161.54</v>
      </c>
      <c r="D456">
        <v>17.29</v>
      </c>
      <c r="E456">
        <v>13.4</v>
      </c>
      <c r="F456">
        <v>19.05</v>
      </c>
      <c r="G456">
        <v>92.54</v>
      </c>
      <c r="H456">
        <v>14.38</v>
      </c>
      <c r="I456">
        <v>23.68</v>
      </c>
      <c r="J456">
        <v>32.99</v>
      </c>
    </row>
    <row r="457" spans="1:10" x14ac:dyDescent="0.45">
      <c r="A457" s="1">
        <v>44201</v>
      </c>
      <c r="B457">
        <v>160.94</v>
      </c>
      <c r="C457">
        <v>163.13999999999999</v>
      </c>
      <c r="D457">
        <v>17.48</v>
      </c>
      <c r="E457">
        <v>13.34</v>
      </c>
      <c r="F457">
        <v>18.899999999999999</v>
      </c>
      <c r="G457">
        <v>90.07</v>
      </c>
      <c r="H457">
        <v>13.92</v>
      </c>
      <c r="I457">
        <v>23.63</v>
      </c>
      <c r="J457">
        <v>32.06</v>
      </c>
    </row>
    <row r="458" spans="1:10" x14ac:dyDescent="0.45">
      <c r="A458" s="1">
        <v>44200</v>
      </c>
      <c r="B458">
        <v>159.41999999999999</v>
      </c>
      <c r="C458">
        <v>160.38999999999999</v>
      </c>
      <c r="D458">
        <v>17.28</v>
      </c>
      <c r="E458">
        <v>13.25</v>
      </c>
      <c r="F458">
        <v>18.71</v>
      </c>
      <c r="G458">
        <v>89.44</v>
      </c>
      <c r="H458">
        <v>13.61</v>
      </c>
      <c r="I458">
        <v>23.59</v>
      </c>
      <c r="J458">
        <v>31.9</v>
      </c>
    </row>
    <row r="459" spans="1:10" x14ac:dyDescent="0.45">
      <c r="A459" s="1">
        <v>44196</v>
      </c>
      <c r="B459">
        <v>161.79</v>
      </c>
      <c r="C459">
        <v>163.08000000000001</v>
      </c>
      <c r="D459">
        <v>17.52</v>
      </c>
      <c r="E459">
        <v>13.45</v>
      </c>
      <c r="F459">
        <v>18.989999999999998</v>
      </c>
      <c r="G459">
        <v>91.74</v>
      </c>
      <c r="H459">
        <v>13.34</v>
      </c>
      <c r="I459">
        <v>23.68</v>
      </c>
      <c r="J459">
        <v>32.17</v>
      </c>
    </row>
    <row r="460" spans="1:10" x14ac:dyDescent="0.45">
      <c r="A460" s="1">
        <v>44195</v>
      </c>
      <c r="B460">
        <v>161.55000000000001</v>
      </c>
      <c r="C460">
        <v>163.75</v>
      </c>
      <c r="D460">
        <v>17.510000000000002</v>
      </c>
      <c r="E460">
        <v>13.36</v>
      </c>
      <c r="F460">
        <v>18.89</v>
      </c>
      <c r="G460">
        <v>90.32</v>
      </c>
      <c r="H460">
        <v>13.42</v>
      </c>
      <c r="I460">
        <v>23.61</v>
      </c>
      <c r="J460">
        <v>31.94</v>
      </c>
    </row>
    <row r="461" spans="1:10" x14ac:dyDescent="0.45">
      <c r="A461" s="1">
        <v>44194</v>
      </c>
      <c r="B461">
        <v>161.30000000000001</v>
      </c>
      <c r="C461">
        <v>163.08000000000001</v>
      </c>
      <c r="D461">
        <v>17.47</v>
      </c>
      <c r="E461">
        <v>13.35</v>
      </c>
      <c r="F461">
        <v>18.86</v>
      </c>
      <c r="G461">
        <v>89.71</v>
      </c>
      <c r="H461">
        <v>13.24</v>
      </c>
      <c r="I461">
        <v>23.51</v>
      </c>
      <c r="J461">
        <v>31.76</v>
      </c>
    </row>
    <row r="462" spans="1:10" x14ac:dyDescent="0.45">
      <c r="A462" s="1">
        <v>44193</v>
      </c>
      <c r="B462">
        <v>163</v>
      </c>
      <c r="C462">
        <v>163.68</v>
      </c>
      <c r="D462">
        <v>17.510000000000002</v>
      </c>
      <c r="E462">
        <v>13.38</v>
      </c>
      <c r="F462">
        <v>18.920000000000002</v>
      </c>
      <c r="G462">
        <v>90.02</v>
      </c>
      <c r="H462">
        <v>13.25</v>
      </c>
      <c r="I462">
        <v>23.4</v>
      </c>
      <c r="J462">
        <v>31.87</v>
      </c>
    </row>
    <row r="463" spans="1:10" x14ac:dyDescent="0.45">
      <c r="A463" s="1">
        <v>44189</v>
      </c>
      <c r="B463">
        <v>161.78</v>
      </c>
      <c r="C463">
        <v>163.46</v>
      </c>
      <c r="D463">
        <v>17.32</v>
      </c>
      <c r="E463">
        <v>13.27</v>
      </c>
      <c r="F463">
        <v>18.760000000000002</v>
      </c>
      <c r="G463">
        <v>89.87</v>
      </c>
      <c r="H463">
        <v>13.27</v>
      </c>
      <c r="I463">
        <v>23.31</v>
      </c>
      <c r="J463">
        <v>31.71</v>
      </c>
    </row>
    <row r="464" spans="1:10" x14ac:dyDescent="0.45">
      <c r="A464" s="1">
        <v>44188</v>
      </c>
      <c r="B464">
        <v>161.33000000000001</v>
      </c>
      <c r="C464">
        <v>163.38999999999999</v>
      </c>
      <c r="D464">
        <v>17.29</v>
      </c>
      <c r="E464">
        <v>13.22</v>
      </c>
      <c r="F464">
        <v>18.7</v>
      </c>
      <c r="G464">
        <v>89.55</v>
      </c>
      <c r="H464">
        <v>13.25</v>
      </c>
      <c r="I464">
        <v>23.3</v>
      </c>
      <c r="J464">
        <v>31.6</v>
      </c>
    </row>
    <row r="465" spans="1:10" x14ac:dyDescent="0.45">
      <c r="A465" s="1">
        <v>44187</v>
      </c>
      <c r="B465">
        <v>161.80000000000001</v>
      </c>
      <c r="C465">
        <v>164.6</v>
      </c>
      <c r="D465">
        <v>17.329999999999998</v>
      </c>
      <c r="E465">
        <v>13.22</v>
      </c>
      <c r="F465">
        <v>18.66</v>
      </c>
      <c r="G465">
        <v>89.36</v>
      </c>
      <c r="H465">
        <v>13.04</v>
      </c>
      <c r="I465">
        <v>23.38</v>
      </c>
      <c r="J465">
        <v>31.31</v>
      </c>
    </row>
    <row r="466" spans="1:10" x14ac:dyDescent="0.45">
      <c r="A466" s="1">
        <v>44186</v>
      </c>
      <c r="B466">
        <v>160.97</v>
      </c>
      <c r="C466">
        <v>162.94</v>
      </c>
      <c r="D466">
        <v>17.260000000000002</v>
      </c>
      <c r="E466">
        <v>13.24</v>
      </c>
      <c r="F466">
        <v>18.71</v>
      </c>
      <c r="G466">
        <v>89.2</v>
      </c>
      <c r="H466">
        <v>13.23</v>
      </c>
      <c r="I466">
        <v>23.45</v>
      </c>
      <c r="J466">
        <v>31.46</v>
      </c>
    </row>
    <row r="467" spans="1:10" x14ac:dyDescent="0.45">
      <c r="A467" s="1">
        <v>44183</v>
      </c>
      <c r="B467">
        <v>161.13999999999999</v>
      </c>
      <c r="C467">
        <v>162.59</v>
      </c>
      <c r="D467">
        <v>17.32</v>
      </c>
      <c r="E467">
        <v>13.29</v>
      </c>
      <c r="F467">
        <v>18.75</v>
      </c>
      <c r="G467">
        <v>90.08</v>
      </c>
      <c r="H467">
        <v>13.35</v>
      </c>
      <c r="I467">
        <v>23.78</v>
      </c>
      <c r="J467">
        <v>31.61</v>
      </c>
    </row>
    <row r="468" spans="1:10" x14ac:dyDescent="0.45">
      <c r="A468" s="1">
        <v>44182</v>
      </c>
      <c r="B468">
        <v>161.22</v>
      </c>
      <c r="C468">
        <v>166.76</v>
      </c>
      <c r="D468">
        <v>17.399999999999999</v>
      </c>
      <c r="E468">
        <v>13.32</v>
      </c>
      <c r="F468">
        <v>19.239999999999998</v>
      </c>
      <c r="G468">
        <v>92.42</v>
      </c>
      <c r="H468">
        <v>13.43</v>
      </c>
      <c r="I468">
        <v>25.2</v>
      </c>
      <c r="J468">
        <v>31.78</v>
      </c>
    </row>
    <row r="469" spans="1:10" x14ac:dyDescent="0.45">
      <c r="A469" s="1">
        <v>44181</v>
      </c>
      <c r="B469">
        <v>159.88</v>
      </c>
      <c r="C469">
        <v>164.8</v>
      </c>
      <c r="D469">
        <v>17.28</v>
      </c>
      <c r="E469">
        <v>13.23</v>
      </c>
      <c r="F469">
        <v>19.149999999999999</v>
      </c>
      <c r="G469">
        <v>91.77</v>
      </c>
      <c r="H469">
        <v>13.28</v>
      </c>
      <c r="I469">
        <v>25.06</v>
      </c>
      <c r="J469">
        <v>31.58</v>
      </c>
    </row>
    <row r="470" spans="1:10" x14ac:dyDescent="0.45">
      <c r="A470" s="1">
        <v>44180</v>
      </c>
      <c r="B470">
        <v>159.12</v>
      </c>
      <c r="C470">
        <v>163.59</v>
      </c>
      <c r="D470">
        <v>17.190000000000001</v>
      </c>
      <c r="E470">
        <v>13.21</v>
      </c>
      <c r="F470">
        <v>19.12</v>
      </c>
      <c r="G470">
        <v>92.94</v>
      </c>
      <c r="H470">
        <v>13.29</v>
      </c>
      <c r="I470">
        <v>25.08</v>
      </c>
      <c r="J470">
        <v>31.67</v>
      </c>
    </row>
    <row r="471" spans="1:10" x14ac:dyDescent="0.45">
      <c r="A471" s="1">
        <v>44179</v>
      </c>
      <c r="B471">
        <v>157.16</v>
      </c>
      <c r="C471">
        <v>161.37</v>
      </c>
      <c r="D471">
        <v>17.010000000000002</v>
      </c>
      <c r="E471">
        <v>13.04</v>
      </c>
      <c r="F471">
        <v>18.84</v>
      </c>
      <c r="G471">
        <v>90.65</v>
      </c>
      <c r="H471">
        <v>13.08</v>
      </c>
      <c r="I471">
        <v>24.76</v>
      </c>
      <c r="J471">
        <v>31.22</v>
      </c>
    </row>
    <row r="472" spans="1:10" x14ac:dyDescent="0.45">
      <c r="A472" s="1">
        <v>44176</v>
      </c>
      <c r="B472">
        <v>156.34</v>
      </c>
      <c r="C472">
        <v>160.69999999999999</v>
      </c>
      <c r="D472">
        <v>16.96</v>
      </c>
      <c r="E472">
        <v>13.08</v>
      </c>
      <c r="F472">
        <v>18.95</v>
      </c>
      <c r="G472">
        <v>91.19</v>
      </c>
      <c r="H472">
        <v>13.26</v>
      </c>
      <c r="I472">
        <v>25.11</v>
      </c>
      <c r="J472">
        <v>31.37</v>
      </c>
    </row>
    <row r="473" spans="1:10" x14ac:dyDescent="0.45">
      <c r="A473" s="1">
        <v>44175</v>
      </c>
      <c r="B473">
        <v>156.68</v>
      </c>
      <c r="C473">
        <v>161.63999999999999</v>
      </c>
      <c r="D473">
        <v>17.05</v>
      </c>
      <c r="E473">
        <v>13.1</v>
      </c>
      <c r="F473">
        <v>19.02</v>
      </c>
      <c r="G473">
        <v>91.14</v>
      </c>
      <c r="H473">
        <v>13.32</v>
      </c>
      <c r="I473">
        <v>25.13</v>
      </c>
      <c r="J473">
        <v>31.65</v>
      </c>
    </row>
    <row r="474" spans="1:10" x14ac:dyDescent="0.45">
      <c r="A474" s="1">
        <v>44174</v>
      </c>
      <c r="B474">
        <v>155.84</v>
      </c>
      <c r="C474">
        <v>160.29</v>
      </c>
      <c r="D474">
        <v>16.93</v>
      </c>
      <c r="E474">
        <v>13.1</v>
      </c>
      <c r="F474">
        <v>19.03</v>
      </c>
      <c r="G474">
        <v>91.71</v>
      </c>
      <c r="H474">
        <v>13.12</v>
      </c>
      <c r="I474">
        <v>25.02</v>
      </c>
      <c r="J474">
        <v>31.79</v>
      </c>
    </row>
    <row r="475" spans="1:10" x14ac:dyDescent="0.45">
      <c r="A475" s="1">
        <v>44173</v>
      </c>
      <c r="B475">
        <v>158.91</v>
      </c>
      <c r="C475">
        <v>163.28</v>
      </c>
      <c r="D475">
        <v>17.23</v>
      </c>
      <c r="E475">
        <v>13.23</v>
      </c>
      <c r="F475">
        <v>19.170000000000002</v>
      </c>
      <c r="G475">
        <v>91.87</v>
      </c>
      <c r="H475">
        <v>13.12</v>
      </c>
      <c r="I475">
        <v>25.03</v>
      </c>
      <c r="J475">
        <v>31.83</v>
      </c>
    </row>
    <row r="476" spans="1:10" x14ac:dyDescent="0.45">
      <c r="A476" s="1">
        <v>44172</v>
      </c>
      <c r="B476">
        <v>158.1</v>
      </c>
      <c r="C476">
        <v>162.28</v>
      </c>
      <c r="D476">
        <v>17.190000000000001</v>
      </c>
      <c r="E476">
        <v>13.19</v>
      </c>
      <c r="F476">
        <v>19.12</v>
      </c>
      <c r="G476">
        <v>91.93</v>
      </c>
      <c r="H476">
        <v>13.07</v>
      </c>
      <c r="I476">
        <v>24.86</v>
      </c>
      <c r="J476">
        <v>31.85</v>
      </c>
    </row>
    <row r="477" spans="1:10" x14ac:dyDescent="0.45">
      <c r="A477" s="1">
        <v>44169</v>
      </c>
      <c r="B477">
        <v>157.41999999999999</v>
      </c>
      <c r="C477">
        <v>161.26</v>
      </c>
      <c r="D477">
        <v>17.12</v>
      </c>
      <c r="E477">
        <v>13.2</v>
      </c>
      <c r="F477">
        <v>19.170000000000002</v>
      </c>
      <c r="G477">
        <v>91.59</v>
      </c>
      <c r="H477">
        <v>13.18</v>
      </c>
      <c r="I477">
        <v>25.03</v>
      </c>
      <c r="J477">
        <v>31.92</v>
      </c>
    </row>
    <row r="478" spans="1:10" x14ac:dyDescent="0.45">
      <c r="A478" s="1">
        <v>44168</v>
      </c>
      <c r="B478">
        <v>156.34</v>
      </c>
      <c r="C478">
        <v>160.08000000000001</v>
      </c>
      <c r="D478">
        <v>17.02</v>
      </c>
      <c r="E478">
        <v>13.24</v>
      </c>
      <c r="F478">
        <v>18.98</v>
      </c>
      <c r="G478">
        <v>91.87</v>
      </c>
      <c r="H478">
        <v>13.08</v>
      </c>
      <c r="I478">
        <v>24.69</v>
      </c>
      <c r="J478">
        <v>31.59</v>
      </c>
    </row>
    <row r="479" spans="1:10" x14ac:dyDescent="0.45">
      <c r="A479" s="1">
        <v>44167</v>
      </c>
      <c r="B479">
        <v>156</v>
      </c>
      <c r="C479">
        <v>159.59</v>
      </c>
      <c r="D479">
        <v>16.97</v>
      </c>
      <c r="E479">
        <v>13.24</v>
      </c>
      <c r="F479">
        <v>18.98</v>
      </c>
      <c r="G479">
        <v>92.42</v>
      </c>
      <c r="H479">
        <v>12.89</v>
      </c>
      <c r="I479">
        <v>24.8</v>
      </c>
      <c r="J479">
        <v>31.49</v>
      </c>
    </row>
    <row r="480" spans="1:10" x14ac:dyDescent="0.45">
      <c r="A480" s="1">
        <v>44166</v>
      </c>
      <c r="B480">
        <v>156.09</v>
      </c>
      <c r="C480">
        <v>159.59</v>
      </c>
      <c r="D480">
        <v>16.97</v>
      </c>
      <c r="E480">
        <v>13.22</v>
      </c>
      <c r="F480">
        <v>18.93</v>
      </c>
      <c r="G480">
        <v>91.9</v>
      </c>
      <c r="H480">
        <v>12.78</v>
      </c>
      <c r="I480">
        <v>24.77</v>
      </c>
      <c r="J480">
        <v>31.36</v>
      </c>
    </row>
    <row r="481" spans="1:10" x14ac:dyDescent="0.45">
      <c r="A481" s="1">
        <v>44165</v>
      </c>
      <c r="B481">
        <v>154.09</v>
      </c>
      <c r="C481">
        <v>158.35</v>
      </c>
      <c r="D481">
        <v>16.7</v>
      </c>
      <c r="E481">
        <v>13.07</v>
      </c>
      <c r="F481">
        <v>18.73</v>
      </c>
      <c r="G481">
        <v>91.37</v>
      </c>
      <c r="H481">
        <v>12.52</v>
      </c>
      <c r="I481">
        <v>24.64</v>
      </c>
      <c r="J481">
        <v>30.98</v>
      </c>
    </row>
    <row r="482" spans="1:10" x14ac:dyDescent="0.45">
      <c r="A482" s="1">
        <v>44162</v>
      </c>
      <c r="B482">
        <v>154.18</v>
      </c>
      <c r="C482">
        <v>158.79</v>
      </c>
      <c r="D482">
        <v>16.739999999999998</v>
      </c>
      <c r="E482">
        <v>13.13</v>
      </c>
      <c r="F482">
        <v>18.88</v>
      </c>
      <c r="G482">
        <v>92.96</v>
      </c>
      <c r="H482">
        <v>12.82</v>
      </c>
      <c r="I482">
        <v>24.72</v>
      </c>
      <c r="J482">
        <v>31.42</v>
      </c>
    </row>
    <row r="483" spans="1:10" x14ac:dyDescent="0.45">
      <c r="A483" s="1">
        <v>44160</v>
      </c>
      <c r="B483">
        <v>152.78</v>
      </c>
      <c r="C483">
        <v>157.27000000000001</v>
      </c>
      <c r="D483">
        <v>16.61</v>
      </c>
      <c r="E483">
        <v>13.09</v>
      </c>
      <c r="F483">
        <v>18.829999999999998</v>
      </c>
      <c r="G483">
        <v>93.51</v>
      </c>
      <c r="H483">
        <v>12.78</v>
      </c>
      <c r="I483">
        <v>24.43</v>
      </c>
      <c r="J483">
        <v>31.37</v>
      </c>
    </row>
    <row r="484" spans="1:10" x14ac:dyDescent="0.45">
      <c r="A484" s="1">
        <v>44159</v>
      </c>
      <c r="B484">
        <v>152.08000000000001</v>
      </c>
      <c r="C484">
        <v>156.13999999999999</v>
      </c>
      <c r="D484">
        <v>16.559999999999999</v>
      </c>
      <c r="E484">
        <v>13.1</v>
      </c>
      <c r="F484">
        <v>18.86</v>
      </c>
      <c r="G484">
        <v>93.58</v>
      </c>
      <c r="H484">
        <v>12.86</v>
      </c>
      <c r="I484">
        <v>24.46</v>
      </c>
      <c r="J484">
        <v>31.59</v>
      </c>
    </row>
    <row r="485" spans="1:10" x14ac:dyDescent="0.45">
      <c r="A485" s="1">
        <v>44158</v>
      </c>
      <c r="B485">
        <v>150.12</v>
      </c>
      <c r="C485">
        <v>154.71</v>
      </c>
      <c r="D485">
        <v>16.329999999999998</v>
      </c>
      <c r="E485">
        <v>12.89</v>
      </c>
      <c r="F485">
        <v>18.559999999999999</v>
      </c>
      <c r="G485">
        <v>92.3</v>
      </c>
      <c r="H485">
        <v>12.41</v>
      </c>
      <c r="I485">
        <v>24.46</v>
      </c>
      <c r="J485">
        <v>30.97</v>
      </c>
    </row>
    <row r="486" spans="1:10" x14ac:dyDescent="0.45">
      <c r="A486" s="1">
        <v>44155</v>
      </c>
      <c r="B486">
        <v>149.80000000000001</v>
      </c>
      <c r="C486">
        <v>153.41</v>
      </c>
      <c r="D486">
        <v>16.260000000000002</v>
      </c>
      <c r="E486">
        <v>12.81</v>
      </c>
      <c r="F486">
        <v>18.420000000000002</v>
      </c>
      <c r="G486">
        <v>92.01</v>
      </c>
      <c r="H486">
        <v>12.12</v>
      </c>
      <c r="I486">
        <v>24.6</v>
      </c>
      <c r="J486">
        <v>30.56</v>
      </c>
    </row>
    <row r="487" spans="1:10" x14ac:dyDescent="0.45">
      <c r="A487" s="1">
        <v>44154</v>
      </c>
      <c r="B487">
        <v>150.43</v>
      </c>
      <c r="C487">
        <v>153.96</v>
      </c>
      <c r="D487">
        <v>16.39</v>
      </c>
      <c r="E487">
        <v>12.9</v>
      </c>
      <c r="F487">
        <v>18.559999999999999</v>
      </c>
      <c r="G487">
        <v>92.12</v>
      </c>
      <c r="H487">
        <v>12.08</v>
      </c>
      <c r="I487">
        <v>24.54</v>
      </c>
      <c r="J487">
        <v>30.65</v>
      </c>
    </row>
    <row r="488" spans="1:10" x14ac:dyDescent="0.45">
      <c r="A488" s="1">
        <v>44153</v>
      </c>
      <c r="B488">
        <v>149.12</v>
      </c>
      <c r="C488">
        <v>152.06</v>
      </c>
      <c r="D488">
        <v>16.27</v>
      </c>
      <c r="E488">
        <v>12.84</v>
      </c>
      <c r="F488">
        <v>18.48</v>
      </c>
      <c r="G488">
        <v>93.19</v>
      </c>
      <c r="H488">
        <v>12.07</v>
      </c>
      <c r="I488">
        <v>24.4</v>
      </c>
      <c r="J488">
        <v>30.69</v>
      </c>
    </row>
    <row r="489" spans="1:10" x14ac:dyDescent="0.45">
      <c r="A489" s="1">
        <v>44152</v>
      </c>
      <c r="B489">
        <v>150.32</v>
      </c>
      <c r="C489">
        <v>152.77000000000001</v>
      </c>
      <c r="D489">
        <v>16.38</v>
      </c>
      <c r="E489">
        <v>12.97</v>
      </c>
      <c r="F489">
        <v>18.690000000000001</v>
      </c>
      <c r="G489">
        <v>94.43</v>
      </c>
      <c r="H489">
        <v>12.22</v>
      </c>
      <c r="I489">
        <v>24.78</v>
      </c>
      <c r="J489">
        <v>31.08</v>
      </c>
    </row>
    <row r="490" spans="1:10" x14ac:dyDescent="0.45">
      <c r="A490" s="1">
        <v>44151</v>
      </c>
      <c r="B490">
        <v>150.63999999999999</v>
      </c>
      <c r="C490">
        <v>152.5</v>
      </c>
      <c r="D490">
        <v>16.43</v>
      </c>
      <c r="E490">
        <v>13.01</v>
      </c>
      <c r="F490">
        <v>18.760000000000002</v>
      </c>
      <c r="G490">
        <v>95.35</v>
      </c>
      <c r="H490">
        <v>12.19</v>
      </c>
      <c r="I490">
        <v>24.93</v>
      </c>
      <c r="J490">
        <v>31.28</v>
      </c>
    </row>
    <row r="491" spans="1:10" x14ac:dyDescent="0.45">
      <c r="A491" s="1">
        <v>44148</v>
      </c>
      <c r="B491">
        <v>149.44</v>
      </c>
      <c r="C491">
        <v>151.44</v>
      </c>
      <c r="D491">
        <v>16.3</v>
      </c>
      <c r="E491">
        <v>12.87</v>
      </c>
      <c r="F491">
        <v>18.52</v>
      </c>
      <c r="G491">
        <v>94.49</v>
      </c>
      <c r="H491">
        <v>11.87</v>
      </c>
      <c r="I491">
        <v>25.02</v>
      </c>
      <c r="J491">
        <v>30.75</v>
      </c>
    </row>
    <row r="492" spans="1:10" x14ac:dyDescent="0.45">
      <c r="A492" s="1">
        <v>44147</v>
      </c>
      <c r="B492">
        <v>147.91999999999999</v>
      </c>
      <c r="C492">
        <v>150.19999999999999</v>
      </c>
      <c r="D492">
        <v>16.12</v>
      </c>
      <c r="E492">
        <v>12.7</v>
      </c>
      <c r="F492">
        <v>18.260000000000002</v>
      </c>
      <c r="G492">
        <v>93.23</v>
      </c>
      <c r="H492">
        <v>11.64</v>
      </c>
      <c r="I492">
        <v>24.82</v>
      </c>
      <c r="J492">
        <v>30.17</v>
      </c>
    </row>
    <row r="493" spans="1:10" x14ac:dyDescent="0.45">
      <c r="A493" s="1">
        <v>44146</v>
      </c>
      <c r="B493">
        <v>148.9</v>
      </c>
      <c r="C493">
        <v>150.69999999999999</v>
      </c>
      <c r="D493">
        <v>16.239999999999998</v>
      </c>
      <c r="E493">
        <v>12.82</v>
      </c>
      <c r="F493">
        <v>18.43</v>
      </c>
      <c r="G493">
        <v>94.73</v>
      </c>
      <c r="H493">
        <v>11.88</v>
      </c>
      <c r="I493">
        <v>25.05</v>
      </c>
      <c r="J493">
        <v>30.49</v>
      </c>
    </row>
    <row r="494" spans="1:10" x14ac:dyDescent="0.45">
      <c r="A494" s="1">
        <v>44145</v>
      </c>
      <c r="B494">
        <v>145.96</v>
      </c>
      <c r="C494">
        <v>147.25</v>
      </c>
      <c r="D494">
        <v>15.95</v>
      </c>
      <c r="E494">
        <v>12.72</v>
      </c>
      <c r="F494">
        <v>18.27</v>
      </c>
      <c r="G494">
        <v>94.2</v>
      </c>
      <c r="H494">
        <v>11.89</v>
      </c>
      <c r="I494">
        <v>24.85</v>
      </c>
      <c r="J494">
        <v>30.56</v>
      </c>
    </row>
    <row r="495" spans="1:10" x14ac:dyDescent="0.45">
      <c r="A495" s="1">
        <v>44144</v>
      </c>
      <c r="B495">
        <v>147.96</v>
      </c>
      <c r="C495">
        <v>150.52000000000001</v>
      </c>
      <c r="D495">
        <v>16.28</v>
      </c>
      <c r="E495">
        <v>12.74</v>
      </c>
      <c r="F495">
        <v>18.28</v>
      </c>
      <c r="G495">
        <v>92.96</v>
      </c>
      <c r="H495">
        <v>11.7</v>
      </c>
      <c r="I495">
        <v>24.56</v>
      </c>
      <c r="J495">
        <v>30.18</v>
      </c>
    </row>
    <row r="496" spans="1:10" x14ac:dyDescent="0.45">
      <c r="A496" s="1">
        <v>44141</v>
      </c>
      <c r="B496">
        <v>150.18</v>
      </c>
      <c r="C496">
        <v>154.6</v>
      </c>
      <c r="D496">
        <v>16.47</v>
      </c>
      <c r="E496">
        <v>12.62</v>
      </c>
      <c r="F496">
        <v>18.13</v>
      </c>
      <c r="G496">
        <v>91.01</v>
      </c>
      <c r="H496">
        <v>11.36</v>
      </c>
      <c r="I496">
        <v>24.55</v>
      </c>
      <c r="J496">
        <v>29.14</v>
      </c>
    </row>
    <row r="497" spans="1:10" x14ac:dyDescent="0.45">
      <c r="A497" s="1">
        <v>44140</v>
      </c>
      <c r="B497">
        <v>150.16999999999999</v>
      </c>
      <c r="C497">
        <v>153.66</v>
      </c>
      <c r="D497">
        <v>16.46</v>
      </c>
      <c r="E497">
        <v>12.62</v>
      </c>
      <c r="F497">
        <v>18.18</v>
      </c>
      <c r="G497">
        <v>91.3</v>
      </c>
      <c r="H497">
        <v>11.29</v>
      </c>
      <c r="I497">
        <v>24.72</v>
      </c>
      <c r="J497">
        <v>29.24</v>
      </c>
    </row>
    <row r="498" spans="1:10" x14ac:dyDescent="0.45">
      <c r="A498" s="1">
        <v>44139</v>
      </c>
      <c r="B498">
        <v>146.36000000000001</v>
      </c>
      <c r="C498">
        <v>149.32</v>
      </c>
      <c r="D498">
        <v>16.05</v>
      </c>
      <c r="E498">
        <v>12.37</v>
      </c>
      <c r="F498">
        <v>17.809999999999999</v>
      </c>
      <c r="G498">
        <v>89.9</v>
      </c>
      <c r="H498">
        <v>11.01</v>
      </c>
      <c r="I498">
        <v>24.81</v>
      </c>
      <c r="J498">
        <v>28.71</v>
      </c>
    </row>
    <row r="499" spans="1:10" x14ac:dyDescent="0.45">
      <c r="A499" s="1">
        <v>44138</v>
      </c>
      <c r="B499">
        <v>140.91999999999999</v>
      </c>
      <c r="C499">
        <v>142.69999999999999</v>
      </c>
      <c r="D499">
        <v>15.37</v>
      </c>
      <c r="E499">
        <v>12.09</v>
      </c>
      <c r="F499">
        <v>17.36</v>
      </c>
      <c r="G499">
        <v>91.2</v>
      </c>
      <c r="H499">
        <v>11.14</v>
      </c>
      <c r="I499">
        <v>23.49</v>
      </c>
      <c r="J499">
        <v>28.55</v>
      </c>
    </row>
    <row r="500" spans="1:10" x14ac:dyDescent="0.45">
      <c r="A500" s="1">
        <v>44137</v>
      </c>
      <c r="B500">
        <v>138.35</v>
      </c>
      <c r="C500">
        <v>139.94999999999999</v>
      </c>
      <c r="D500">
        <v>15.09</v>
      </c>
      <c r="E500">
        <v>11.87</v>
      </c>
      <c r="F500">
        <v>17.05</v>
      </c>
      <c r="G500">
        <v>89.86</v>
      </c>
      <c r="H500">
        <v>11.05</v>
      </c>
      <c r="I500">
        <v>23.16</v>
      </c>
      <c r="J500">
        <v>27.93</v>
      </c>
    </row>
    <row r="501" spans="1:10" x14ac:dyDescent="0.45">
      <c r="A501" s="1">
        <v>44134</v>
      </c>
      <c r="B501">
        <v>137.78</v>
      </c>
      <c r="C501">
        <v>139.35</v>
      </c>
      <c r="D501">
        <v>15.08</v>
      </c>
      <c r="E501">
        <v>11.73</v>
      </c>
      <c r="F501">
        <v>16.850000000000001</v>
      </c>
      <c r="G501">
        <v>87.99</v>
      </c>
      <c r="H501">
        <v>10.82</v>
      </c>
      <c r="I501">
        <v>22.83</v>
      </c>
      <c r="J501">
        <v>27.37</v>
      </c>
    </row>
    <row r="502" spans="1:10" x14ac:dyDescent="0.45">
      <c r="A502" s="1">
        <v>44133</v>
      </c>
      <c r="B502">
        <v>141.25</v>
      </c>
      <c r="C502">
        <v>143.75</v>
      </c>
      <c r="D502">
        <v>15.46</v>
      </c>
      <c r="E502">
        <v>11.89</v>
      </c>
      <c r="F502">
        <v>17.059999999999999</v>
      </c>
      <c r="G502">
        <v>89.05</v>
      </c>
      <c r="H502">
        <v>10.81</v>
      </c>
      <c r="I502">
        <v>23.02</v>
      </c>
      <c r="J502">
        <v>27.45</v>
      </c>
    </row>
    <row r="503" spans="1:10" x14ac:dyDescent="0.45">
      <c r="A503" s="1">
        <v>44132</v>
      </c>
      <c r="B503">
        <v>138.94999999999999</v>
      </c>
      <c r="C503">
        <v>141.97</v>
      </c>
      <c r="D503">
        <v>15.19</v>
      </c>
      <c r="E503">
        <v>11.75</v>
      </c>
      <c r="F503">
        <v>16.87</v>
      </c>
      <c r="G503">
        <v>88.74</v>
      </c>
      <c r="H503">
        <v>10.64</v>
      </c>
      <c r="I503">
        <v>22.97</v>
      </c>
      <c r="J503">
        <v>27.18</v>
      </c>
    </row>
    <row r="504" spans="1:10" x14ac:dyDescent="0.45">
      <c r="A504" s="1">
        <v>44131</v>
      </c>
      <c r="B504">
        <v>144.35</v>
      </c>
      <c r="C504">
        <v>147.19999999999999</v>
      </c>
      <c r="D504">
        <v>15.81</v>
      </c>
      <c r="E504">
        <v>12.18</v>
      </c>
      <c r="F504">
        <v>17.48</v>
      </c>
      <c r="G504">
        <v>91.57</v>
      </c>
      <c r="H504">
        <v>11.02</v>
      </c>
      <c r="I504">
        <v>23.57</v>
      </c>
      <c r="J504">
        <v>28.04</v>
      </c>
    </row>
    <row r="505" spans="1:10" x14ac:dyDescent="0.45">
      <c r="A505" s="1">
        <v>44130</v>
      </c>
      <c r="B505">
        <v>143.43</v>
      </c>
      <c r="C505">
        <v>145.94</v>
      </c>
      <c r="D505">
        <v>15.69</v>
      </c>
      <c r="E505">
        <v>12.21</v>
      </c>
      <c r="F505">
        <v>17.52</v>
      </c>
      <c r="G505">
        <v>91.89</v>
      </c>
      <c r="H505">
        <v>11.13</v>
      </c>
      <c r="I505">
        <v>23.83</v>
      </c>
      <c r="J505">
        <v>28.37</v>
      </c>
    </row>
    <row r="506" spans="1:10" x14ac:dyDescent="0.45">
      <c r="A506" s="1">
        <v>44127</v>
      </c>
      <c r="B506">
        <v>145.83000000000001</v>
      </c>
      <c r="C506">
        <v>148.44999999999999</v>
      </c>
      <c r="D506">
        <v>15.97</v>
      </c>
      <c r="E506">
        <v>12.44</v>
      </c>
      <c r="F506">
        <v>17.86</v>
      </c>
      <c r="G506">
        <v>92.43</v>
      </c>
      <c r="H506">
        <v>11.34</v>
      </c>
      <c r="I506">
        <v>23.94</v>
      </c>
      <c r="J506">
        <v>28.96</v>
      </c>
    </row>
    <row r="507" spans="1:10" x14ac:dyDescent="0.45">
      <c r="A507" s="1">
        <v>44126</v>
      </c>
      <c r="B507">
        <v>145.29</v>
      </c>
      <c r="C507">
        <v>147.30000000000001</v>
      </c>
      <c r="D507">
        <v>15.88</v>
      </c>
      <c r="E507">
        <v>12.39</v>
      </c>
      <c r="F507">
        <v>17.78</v>
      </c>
      <c r="G507">
        <v>92.02</v>
      </c>
      <c r="H507">
        <v>11.38</v>
      </c>
      <c r="I507">
        <v>23.88</v>
      </c>
      <c r="J507">
        <v>28.8</v>
      </c>
    </row>
    <row r="508" spans="1:10" x14ac:dyDescent="0.45">
      <c r="A508" s="1">
        <v>44125</v>
      </c>
      <c r="B508">
        <v>145.02000000000001</v>
      </c>
      <c r="C508">
        <v>147.22999999999999</v>
      </c>
      <c r="D508">
        <v>15.86</v>
      </c>
      <c r="E508">
        <v>12.33</v>
      </c>
      <c r="F508">
        <v>17.71</v>
      </c>
      <c r="G508">
        <v>90.78</v>
      </c>
      <c r="H508">
        <v>11.31</v>
      </c>
      <c r="I508">
        <v>23.72</v>
      </c>
      <c r="J508">
        <v>28.54</v>
      </c>
    </row>
    <row r="509" spans="1:10" x14ac:dyDescent="0.45">
      <c r="A509" s="1">
        <v>44124</v>
      </c>
      <c r="B509">
        <v>145.41999999999999</v>
      </c>
      <c r="C509">
        <v>148.16</v>
      </c>
      <c r="D509">
        <v>15.86</v>
      </c>
      <c r="E509">
        <v>12.36</v>
      </c>
      <c r="F509">
        <v>17.78</v>
      </c>
      <c r="G509">
        <v>91.13</v>
      </c>
      <c r="H509">
        <v>11.27</v>
      </c>
      <c r="I509">
        <v>24.01</v>
      </c>
      <c r="J509">
        <v>28.61</v>
      </c>
    </row>
    <row r="510" spans="1:10" x14ac:dyDescent="0.45">
      <c r="A510" s="1">
        <v>44123</v>
      </c>
      <c r="B510">
        <v>144.94</v>
      </c>
      <c r="C510">
        <v>147.69999999999999</v>
      </c>
      <c r="D510">
        <v>15.79</v>
      </c>
      <c r="E510">
        <v>12.31</v>
      </c>
      <c r="F510">
        <v>17.68</v>
      </c>
      <c r="G510">
        <v>90.31</v>
      </c>
      <c r="H510">
        <v>11.16</v>
      </c>
      <c r="I510">
        <v>24.11</v>
      </c>
      <c r="J510">
        <v>28.44</v>
      </c>
    </row>
    <row r="511" spans="1:10" x14ac:dyDescent="0.45">
      <c r="A511" s="1">
        <v>44120</v>
      </c>
      <c r="B511">
        <v>147.38</v>
      </c>
      <c r="C511">
        <v>150.16999999999999</v>
      </c>
      <c r="D511">
        <v>16.07</v>
      </c>
      <c r="E511">
        <v>12.51</v>
      </c>
      <c r="F511">
        <v>17.97</v>
      </c>
      <c r="G511">
        <v>90.77</v>
      </c>
      <c r="H511">
        <v>11.25</v>
      </c>
      <c r="I511">
        <v>24.4</v>
      </c>
      <c r="J511">
        <v>28.83</v>
      </c>
    </row>
    <row r="512" spans="1:10" x14ac:dyDescent="0.45">
      <c r="A512" s="1">
        <v>44119</v>
      </c>
      <c r="B512">
        <v>147.91999999999999</v>
      </c>
      <c r="C512">
        <v>150.77000000000001</v>
      </c>
      <c r="D512">
        <v>16.13</v>
      </c>
      <c r="E512">
        <v>12.51</v>
      </c>
      <c r="F512">
        <v>18</v>
      </c>
      <c r="G512">
        <v>89.83</v>
      </c>
      <c r="H512">
        <v>11.27</v>
      </c>
      <c r="I512">
        <v>24.23</v>
      </c>
      <c r="J512">
        <v>28.74</v>
      </c>
    </row>
    <row r="513" spans="1:10" x14ac:dyDescent="0.45">
      <c r="A513" s="1">
        <v>44118</v>
      </c>
      <c r="B513">
        <v>148.61000000000001</v>
      </c>
      <c r="C513">
        <v>151.5</v>
      </c>
      <c r="D513">
        <v>16.239999999999998</v>
      </c>
      <c r="E513">
        <v>12.54</v>
      </c>
      <c r="F513">
        <v>18</v>
      </c>
      <c r="G513">
        <v>89.53</v>
      </c>
      <c r="H513">
        <v>11.29</v>
      </c>
      <c r="I513">
        <v>24.6</v>
      </c>
      <c r="J513">
        <v>28.69</v>
      </c>
    </row>
    <row r="514" spans="1:10" x14ac:dyDescent="0.45">
      <c r="A514" s="1">
        <v>44117</v>
      </c>
      <c r="B514">
        <v>149.82</v>
      </c>
      <c r="C514">
        <v>152.76</v>
      </c>
      <c r="D514">
        <v>16.36</v>
      </c>
      <c r="E514">
        <v>12.62</v>
      </c>
      <c r="F514">
        <v>18.12</v>
      </c>
      <c r="G514">
        <v>89.5</v>
      </c>
      <c r="H514">
        <v>11.26</v>
      </c>
      <c r="I514">
        <v>24.81</v>
      </c>
      <c r="J514">
        <v>28.78</v>
      </c>
    </row>
    <row r="515" spans="1:10" x14ac:dyDescent="0.45">
      <c r="A515" s="1">
        <v>44116</v>
      </c>
      <c r="B515">
        <v>149.97</v>
      </c>
      <c r="C515">
        <v>152.44</v>
      </c>
      <c r="D515">
        <v>16.38</v>
      </c>
      <c r="E515">
        <v>12.69</v>
      </c>
      <c r="F515">
        <v>18.25</v>
      </c>
      <c r="G515">
        <v>89.99</v>
      </c>
      <c r="H515">
        <v>11.41</v>
      </c>
      <c r="I515">
        <v>25</v>
      </c>
      <c r="J515">
        <v>29.06</v>
      </c>
    </row>
    <row r="516" spans="1:10" x14ac:dyDescent="0.45">
      <c r="A516" s="1">
        <v>44113</v>
      </c>
      <c r="B516">
        <v>146.22999999999999</v>
      </c>
      <c r="C516">
        <v>149.71</v>
      </c>
      <c r="D516">
        <v>15.99</v>
      </c>
      <c r="E516">
        <v>12.48</v>
      </c>
      <c r="F516">
        <v>17.940000000000001</v>
      </c>
      <c r="G516">
        <v>89.58</v>
      </c>
      <c r="H516">
        <v>11.39</v>
      </c>
      <c r="I516">
        <v>24.93</v>
      </c>
      <c r="J516">
        <v>28.82</v>
      </c>
    </row>
    <row r="517" spans="1:10" x14ac:dyDescent="0.45">
      <c r="A517" s="1">
        <v>44112</v>
      </c>
      <c r="B517">
        <v>144.22</v>
      </c>
      <c r="C517">
        <v>147.44</v>
      </c>
      <c r="D517">
        <v>15.76</v>
      </c>
      <c r="E517">
        <v>12.37</v>
      </c>
      <c r="F517">
        <v>17.77</v>
      </c>
      <c r="G517">
        <v>89.73</v>
      </c>
      <c r="H517">
        <v>11.27</v>
      </c>
      <c r="I517">
        <v>24.68</v>
      </c>
      <c r="J517">
        <v>28.75</v>
      </c>
    </row>
    <row r="518" spans="1:10" x14ac:dyDescent="0.45">
      <c r="A518" s="1">
        <v>44111</v>
      </c>
      <c r="B518">
        <v>143.5</v>
      </c>
      <c r="C518">
        <v>146.91</v>
      </c>
      <c r="D518">
        <v>15.68</v>
      </c>
      <c r="E518">
        <v>12.27</v>
      </c>
      <c r="F518">
        <v>17.64</v>
      </c>
      <c r="G518">
        <v>87.8</v>
      </c>
      <c r="H518">
        <v>11.1</v>
      </c>
      <c r="I518">
        <v>24.45</v>
      </c>
      <c r="J518">
        <v>28.42</v>
      </c>
    </row>
    <row r="519" spans="1:10" x14ac:dyDescent="0.45">
      <c r="A519" s="1">
        <v>44110</v>
      </c>
      <c r="B519">
        <v>140.85</v>
      </c>
      <c r="C519">
        <v>143.96</v>
      </c>
      <c r="D519">
        <v>15.41</v>
      </c>
      <c r="E519">
        <v>12.06</v>
      </c>
      <c r="F519">
        <v>17.329999999999998</v>
      </c>
      <c r="G519">
        <v>87.06</v>
      </c>
      <c r="H519">
        <v>10.92</v>
      </c>
      <c r="I519">
        <v>24.19</v>
      </c>
      <c r="J519">
        <v>27.9</v>
      </c>
    </row>
    <row r="520" spans="1:10" x14ac:dyDescent="0.45">
      <c r="A520" s="1">
        <v>44109</v>
      </c>
      <c r="B520">
        <v>143.09</v>
      </c>
      <c r="C520">
        <v>146.21</v>
      </c>
      <c r="D520">
        <v>15.68</v>
      </c>
      <c r="E520">
        <v>12.23</v>
      </c>
      <c r="F520">
        <v>17.57</v>
      </c>
      <c r="G520">
        <v>86.09</v>
      </c>
      <c r="H520">
        <v>11.1</v>
      </c>
      <c r="I520">
        <v>24.55</v>
      </c>
      <c r="J520">
        <v>28.14</v>
      </c>
    </row>
    <row r="521" spans="1:10" x14ac:dyDescent="0.45">
      <c r="A521" s="1">
        <v>44106</v>
      </c>
      <c r="B521">
        <v>139.83000000000001</v>
      </c>
      <c r="C521">
        <v>143.26</v>
      </c>
      <c r="D521">
        <v>15.35</v>
      </c>
      <c r="E521">
        <v>12.01</v>
      </c>
      <c r="F521">
        <v>17.260000000000002</v>
      </c>
      <c r="G521">
        <v>84.95</v>
      </c>
      <c r="H521">
        <v>10.85</v>
      </c>
      <c r="I521">
        <v>24.13</v>
      </c>
      <c r="J521">
        <v>27.57</v>
      </c>
    </row>
    <row r="522" spans="1:10" x14ac:dyDescent="0.45">
      <c r="A522" s="1">
        <v>44105</v>
      </c>
      <c r="B522">
        <v>143.01</v>
      </c>
      <c r="C522">
        <v>146.22</v>
      </c>
      <c r="D522">
        <v>15.72</v>
      </c>
      <c r="E522">
        <v>12.14</v>
      </c>
      <c r="F522">
        <v>17.43</v>
      </c>
      <c r="G522">
        <v>83.66</v>
      </c>
      <c r="H522">
        <v>10.85</v>
      </c>
      <c r="I522">
        <v>24.3</v>
      </c>
      <c r="J522">
        <v>27.51</v>
      </c>
    </row>
    <row r="523" spans="1:10" x14ac:dyDescent="0.45">
      <c r="A523" s="1">
        <v>44104</v>
      </c>
      <c r="B523">
        <v>140.97999999999999</v>
      </c>
      <c r="C523">
        <v>143.71</v>
      </c>
      <c r="D523">
        <v>15.49</v>
      </c>
      <c r="E523">
        <v>12.06</v>
      </c>
      <c r="F523">
        <v>17.32</v>
      </c>
      <c r="G523">
        <v>83.17</v>
      </c>
      <c r="H523">
        <v>10.91</v>
      </c>
      <c r="I523">
        <v>24.33</v>
      </c>
      <c r="J523">
        <v>27.38</v>
      </c>
    </row>
    <row r="524" spans="1:10" x14ac:dyDescent="0.45">
      <c r="A524" s="1">
        <v>44103</v>
      </c>
      <c r="B524">
        <v>139.94</v>
      </c>
      <c r="C524">
        <v>142.44999999999999</v>
      </c>
      <c r="D524">
        <v>15.38</v>
      </c>
      <c r="E524">
        <v>11.96</v>
      </c>
      <c r="F524">
        <v>17.170000000000002</v>
      </c>
      <c r="G524">
        <v>82.25</v>
      </c>
      <c r="H524">
        <v>10.84</v>
      </c>
      <c r="I524">
        <v>24.22</v>
      </c>
      <c r="J524">
        <v>27.11</v>
      </c>
    </row>
    <row r="525" spans="1:10" x14ac:dyDescent="0.45">
      <c r="A525" s="1">
        <v>44102</v>
      </c>
      <c r="B525">
        <v>140.34</v>
      </c>
      <c r="C525">
        <v>142.62</v>
      </c>
      <c r="D525">
        <v>15.41</v>
      </c>
      <c r="E525">
        <v>12.01</v>
      </c>
      <c r="F525">
        <v>17.260000000000002</v>
      </c>
      <c r="G525">
        <v>82.16</v>
      </c>
      <c r="H525">
        <v>10.94</v>
      </c>
      <c r="I525">
        <v>24.3</v>
      </c>
      <c r="J525">
        <v>27.32</v>
      </c>
    </row>
    <row r="526" spans="1:10" x14ac:dyDescent="0.45">
      <c r="A526" s="1">
        <v>44099</v>
      </c>
      <c r="B526">
        <v>137.76</v>
      </c>
      <c r="C526">
        <v>140.02000000000001</v>
      </c>
      <c r="D526">
        <v>15.15</v>
      </c>
      <c r="E526">
        <v>11.82</v>
      </c>
      <c r="F526">
        <v>16.989999999999998</v>
      </c>
      <c r="G526">
        <v>82.2</v>
      </c>
      <c r="H526">
        <v>10.84</v>
      </c>
      <c r="I526">
        <v>24.28</v>
      </c>
      <c r="J526">
        <v>26.94</v>
      </c>
    </row>
    <row r="527" spans="1:10" x14ac:dyDescent="0.45">
      <c r="A527" s="1">
        <v>44098</v>
      </c>
      <c r="B527">
        <v>134.72</v>
      </c>
      <c r="C527">
        <v>136.9</v>
      </c>
      <c r="D527">
        <v>14.83</v>
      </c>
      <c r="E527">
        <v>11.63</v>
      </c>
      <c r="F527">
        <v>16.72</v>
      </c>
      <c r="G527">
        <v>81.12</v>
      </c>
      <c r="H527">
        <v>10.82</v>
      </c>
      <c r="I527">
        <v>24.01</v>
      </c>
      <c r="J527">
        <v>26.66</v>
      </c>
    </row>
    <row r="528" spans="1:10" x14ac:dyDescent="0.45">
      <c r="A528" s="1">
        <v>44097</v>
      </c>
      <c r="B528">
        <v>134.21</v>
      </c>
      <c r="C528">
        <v>136.80000000000001</v>
      </c>
      <c r="D528">
        <v>14.79</v>
      </c>
      <c r="E528">
        <v>11.59</v>
      </c>
      <c r="F528">
        <v>16.649999999999999</v>
      </c>
      <c r="G528">
        <v>80.14</v>
      </c>
      <c r="H528">
        <v>10.75</v>
      </c>
      <c r="I528">
        <v>24.31</v>
      </c>
      <c r="J528">
        <v>26.64</v>
      </c>
    </row>
    <row r="529" spans="1:10" x14ac:dyDescent="0.45">
      <c r="A529" s="1">
        <v>44096</v>
      </c>
      <c r="B529">
        <v>138.38999999999999</v>
      </c>
      <c r="C529">
        <v>141.08000000000001</v>
      </c>
      <c r="D529">
        <v>15.23</v>
      </c>
      <c r="E529">
        <v>11.88</v>
      </c>
      <c r="F529">
        <v>17.079999999999998</v>
      </c>
      <c r="G529">
        <v>81.66</v>
      </c>
      <c r="H529">
        <v>11.07</v>
      </c>
      <c r="I529">
        <v>24.38</v>
      </c>
      <c r="J529">
        <v>27.2</v>
      </c>
    </row>
    <row r="530" spans="1:10" x14ac:dyDescent="0.45">
      <c r="A530" s="1">
        <v>44095</v>
      </c>
      <c r="B530">
        <v>136.06</v>
      </c>
      <c r="C530">
        <v>138.63</v>
      </c>
      <c r="D530">
        <v>14.99</v>
      </c>
      <c r="E530">
        <v>11.76</v>
      </c>
      <c r="F530">
        <v>16.899999999999999</v>
      </c>
      <c r="G530">
        <v>81.11</v>
      </c>
      <c r="H530">
        <v>11.11</v>
      </c>
      <c r="I530">
        <v>24.4</v>
      </c>
      <c r="J530">
        <v>27.13</v>
      </c>
    </row>
    <row r="531" spans="1:10" x14ac:dyDescent="0.45">
      <c r="A531" s="1">
        <v>44092</v>
      </c>
      <c r="B531">
        <v>136.22999999999999</v>
      </c>
      <c r="C531">
        <v>138.49</v>
      </c>
      <c r="D531">
        <v>15.02</v>
      </c>
      <c r="E531">
        <v>11.89</v>
      </c>
      <c r="F531">
        <v>17.100000000000001</v>
      </c>
      <c r="G531">
        <v>81.819999999999993</v>
      </c>
      <c r="H531">
        <v>11.56</v>
      </c>
      <c r="I531">
        <v>24.9</v>
      </c>
      <c r="J531">
        <v>27.91</v>
      </c>
    </row>
    <row r="532" spans="1:10" x14ac:dyDescent="0.45">
      <c r="A532" s="1">
        <v>44091</v>
      </c>
      <c r="B532">
        <v>137.71</v>
      </c>
      <c r="C532">
        <v>139.68</v>
      </c>
      <c r="D532">
        <v>15.19</v>
      </c>
      <c r="E532">
        <v>12.01</v>
      </c>
      <c r="F532">
        <v>17.3</v>
      </c>
      <c r="G532">
        <v>83.07</v>
      </c>
      <c r="H532">
        <v>11.64</v>
      </c>
      <c r="I532">
        <v>24.76</v>
      </c>
      <c r="J532">
        <v>28.19</v>
      </c>
    </row>
    <row r="533" spans="1:10" x14ac:dyDescent="0.45">
      <c r="A533" s="1">
        <v>44090</v>
      </c>
      <c r="B533">
        <v>139.47999999999999</v>
      </c>
      <c r="C533">
        <v>141.35</v>
      </c>
      <c r="D533">
        <v>15.4</v>
      </c>
      <c r="E533">
        <v>12.12</v>
      </c>
      <c r="F533">
        <v>17.440000000000001</v>
      </c>
      <c r="G533">
        <v>83.51</v>
      </c>
      <c r="H533">
        <v>11.66</v>
      </c>
      <c r="I533">
        <v>24.69</v>
      </c>
      <c r="J533">
        <v>28.34</v>
      </c>
    </row>
    <row r="534" spans="1:10" x14ac:dyDescent="0.45">
      <c r="A534" s="1">
        <v>44089</v>
      </c>
      <c r="B534">
        <v>141.25</v>
      </c>
      <c r="C534">
        <v>143.22999999999999</v>
      </c>
      <c r="D534">
        <v>15.61</v>
      </c>
      <c r="E534">
        <v>12.18</v>
      </c>
      <c r="F534">
        <v>17.510000000000002</v>
      </c>
      <c r="G534">
        <v>83.17</v>
      </c>
      <c r="H534">
        <v>11.54</v>
      </c>
      <c r="I534">
        <v>24.67</v>
      </c>
      <c r="J534">
        <v>28.13</v>
      </c>
    </row>
    <row r="535" spans="1:10" x14ac:dyDescent="0.45">
      <c r="A535" s="1">
        <v>44088</v>
      </c>
      <c r="B535">
        <v>139.56</v>
      </c>
      <c r="C535">
        <v>141.63</v>
      </c>
      <c r="D535">
        <v>15.41</v>
      </c>
      <c r="E535">
        <v>12.1</v>
      </c>
      <c r="F535">
        <v>17.440000000000001</v>
      </c>
      <c r="G535">
        <v>83.01</v>
      </c>
      <c r="H535">
        <v>11.49</v>
      </c>
      <c r="I535">
        <v>24.48</v>
      </c>
      <c r="J535">
        <v>28.07</v>
      </c>
    </row>
    <row r="536" spans="1:10" x14ac:dyDescent="0.45">
      <c r="A536" s="1">
        <v>44085</v>
      </c>
      <c r="B536">
        <v>136.97999999999999</v>
      </c>
      <c r="C536">
        <v>138.71</v>
      </c>
      <c r="D536">
        <v>15.15</v>
      </c>
      <c r="E536">
        <v>11.93</v>
      </c>
      <c r="F536">
        <v>17.22</v>
      </c>
      <c r="G536">
        <v>81.760000000000005</v>
      </c>
      <c r="H536">
        <v>11.39</v>
      </c>
      <c r="I536">
        <v>23.99</v>
      </c>
      <c r="J536">
        <v>27.59</v>
      </c>
    </row>
    <row r="537" spans="1:10" x14ac:dyDescent="0.45">
      <c r="A537" s="1">
        <v>44084</v>
      </c>
      <c r="B537">
        <v>137.82</v>
      </c>
      <c r="C537">
        <v>145.41</v>
      </c>
      <c r="D537">
        <v>16.22</v>
      </c>
      <c r="E537">
        <v>11.93</v>
      </c>
      <c r="F537">
        <v>17.22</v>
      </c>
      <c r="G537">
        <v>81.319999999999993</v>
      </c>
      <c r="H537">
        <v>11.25</v>
      </c>
      <c r="I537">
        <v>23.77</v>
      </c>
      <c r="J537">
        <v>27.44</v>
      </c>
    </row>
    <row r="538" spans="1:10" x14ac:dyDescent="0.45">
      <c r="A538" s="1">
        <v>44083</v>
      </c>
      <c r="B538">
        <v>140.62</v>
      </c>
      <c r="C538">
        <v>147.69999999999999</v>
      </c>
      <c r="D538">
        <v>16.510000000000002</v>
      </c>
      <c r="E538">
        <v>12.14</v>
      </c>
      <c r="F538">
        <v>17.54</v>
      </c>
      <c r="G538">
        <v>82.66</v>
      </c>
      <c r="H538">
        <v>11.42</v>
      </c>
      <c r="I538">
        <v>24.16</v>
      </c>
      <c r="J538">
        <v>27.81</v>
      </c>
    </row>
    <row r="539" spans="1:10" x14ac:dyDescent="0.45">
      <c r="A539" s="1">
        <v>44082</v>
      </c>
      <c r="B539">
        <v>136.91</v>
      </c>
      <c r="C539">
        <v>143.61000000000001</v>
      </c>
      <c r="D539">
        <v>16.05</v>
      </c>
      <c r="E539">
        <v>11.89</v>
      </c>
      <c r="F539">
        <v>17.18</v>
      </c>
      <c r="G539">
        <v>81.790000000000006</v>
      </c>
      <c r="H539">
        <v>11.21</v>
      </c>
      <c r="I539">
        <v>23.78</v>
      </c>
      <c r="J539">
        <v>27.46</v>
      </c>
    </row>
    <row r="540" spans="1:10" x14ac:dyDescent="0.45">
      <c r="A540" s="1">
        <v>44078</v>
      </c>
      <c r="B540">
        <v>142.79</v>
      </c>
      <c r="C540">
        <v>149.01</v>
      </c>
      <c r="D540">
        <v>16.75</v>
      </c>
      <c r="E540">
        <v>12.25</v>
      </c>
      <c r="F540">
        <v>17.690000000000001</v>
      </c>
      <c r="G540">
        <v>82.39</v>
      </c>
      <c r="H540">
        <v>11.44</v>
      </c>
      <c r="I540">
        <v>23.87</v>
      </c>
      <c r="J540">
        <v>27.97</v>
      </c>
    </row>
    <row r="541" spans="1:10" x14ac:dyDescent="0.45">
      <c r="A541" s="1">
        <v>44077</v>
      </c>
      <c r="B541">
        <v>144.63</v>
      </c>
      <c r="C541">
        <v>151.47</v>
      </c>
      <c r="D541">
        <v>16.989999999999998</v>
      </c>
      <c r="E541">
        <v>12.36</v>
      </c>
      <c r="F541">
        <v>17.850000000000001</v>
      </c>
      <c r="G541">
        <v>83.08</v>
      </c>
      <c r="H541">
        <v>11.37</v>
      </c>
      <c r="I541">
        <v>24</v>
      </c>
      <c r="J541">
        <v>28.21</v>
      </c>
    </row>
    <row r="542" spans="1:10" x14ac:dyDescent="0.45">
      <c r="A542" s="1">
        <v>44076</v>
      </c>
      <c r="B542">
        <v>152.16999999999999</v>
      </c>
      <c r="C542">
        <v>159.84</v>
      </c>
      <c r="D542">
        <v>17.86</v>
      </c>
      <c r="E542">
        <v>12.82</v>
      </c>
      <c r="F542">
        <v>18.510000000000002</v>
      </c>
      <c r="G542">
        <v>84.2</v>
      </c>
      <c r="H542">
        <v>11.58</v>
      </c>
      <c r="I542">
        <v>24.63</v>
      </c>
      <c r="J542">
        <v>28.79</v>
      </c>
    </row>
    <row r="543" spans="1:10" x14ac:dyDescent="0.45">
      <c r="A543" s="1">
        <v>44075</v>
      </c>
      <c r="B543">
        <v>150.69</v>
      </c>
      <c r="C543">
        <v>158.87</v>
      </c>
      <c r="D543">
        <v>17.670000000000002</v>
      </c>
      <c r="E543">
        <v>12.64</v>
      </c>
      <c r="F543">
        <v>18.27</v>
      </c>
      <c r="G543">
        <v>82.08</v>
      </c>
      <c r="H543">
        <v>11.53</v>
      </c>
      <c r="I543">
        <v>24.28</v>
      </c>
      <c r="J543">
        <v>28.33</v>
      </c>
    </row>
    <row r="544" spans="1:10" x14ac:dyDescent="0.45">
      <c r="A544" s="1">
        <v>44074</v>
      </c>
      <c r="B544">
        <v>148.62</v>
      </c>
      <c r="C544">
        <v>156.13999999999999</v>
      </c>
      <c r="D544">
        <v>17.43</v>
      </c>
      <c r="E544">
        <v>12.55</v>
      </c>
      <c r="F544">
        <v>18.12</v>
      </c>
      <c r="G544">
        <v>82.97</v>
      </c>
      <c r="H544">
        <v>11.43</v>
      </c>
      <c r="I544">
        <v>24.49</v>
      </c>
      <c r="J544">
        <v>28.28</v>
      </c>
    </row>
    <row r="545" spans="1:10" x14ac:dyDescent="0.45">
      <c r="A545" s="1">
        <v>44071</v>
      </c>
      <c r="B545">
        <v>147.6</v>
      </c>
      <c r="C545">
        <v>154.97</v>
      </c>
      <c r="D545">
        <v>17.350000000000001</v>
      </c>
      <c r="E545">
        <v>12.55</v>
      </c>
      <c r="F545">
        <v>18.16</v>
      </c>
      <c r="G545">
        <v>82.74</v>
      </c>
      <c r="H545">
        <v>11.52</v>
      </c>
      <c r="I545">
        <v>24.38</v>
      </c>
      <c r="J545">
        <v>28.52</v>
      </c>
    </row>
    <row r="546" spans="1:10" x14ac:dyDescent="0.45">
      <c r="A546" s="1">
        <v>44070</v>
      </c>
      <c r="B546">
        <v>146.71</v>
      </c>
      <c r="C546">
        <v>153.77000000000001</v>
      </c>
      <c r="D546">
        <v>17.23</v>
      </c>
      <c r="E546">
        <v>12.47</v>
      </c>
      <c r="F546">
        <v>18.04</v>
      </c>
      <c r="G546">
        <v>82.55</v>
      </c>
      <c r="H546">
        <v>11.37</v>
      </c>
      <c r="I546">
        <v>24.42</v>
      </c>
      <c r="J546">
        <v>28.31</v>
      </c>
    </row>
    <row r="547" spans="1:10" x14ac:dyDescent="0.45">
      <c r="A547" s="1">
        <v>44069</v>
      </c>
      <c r="B547">
        <v>147.21</v>
      </c>
      <c r="C547">
        <v>154.58000000000001</v>
      </c>
      <c r="D547">
        <v>17.29</v>
      </c>
      <c r="E547">
        <v>12.44</v>
      </c>
      <c r="F547">
        <v>18</v>
      </c>
      <c r="G547">
        <v>81.93</v>
      </c>
      <c r="H547">
        <v>11.42</v>
      </c>
      <c r="I547">
        <v>24.55</v>
      </c>
      <c r="J547">
        <v>28.15</v>
      </c>
    </row>
    <row r="548" spans="1:10" x14ac:dyDescent="0.45">
      <c r="A548" s="1">
        <v>44068</v>
      </c>
      <c r="B548">
        <v>144.69999999999999</v>
      </c>
      <c r="C548">
        <v>150.5</v>
      </c>
      <c r="D548">
        <v>16.93</v>
      </c>
      <c r="E548">
        <v>12.3</v>
      </c>
      <c r="F548">
        <v>17.8</v>
      </c>
      <c r="G548">
        <v>82.94</v>
      </c>
      <c r="H548">
        <v>11.37</v>
      </c>
      <c r="I548">
        <v>24.58</v>
      </c>
      <c r="J548">
        <v>28.12</v>
      </c>
    </row>
    <row r="549" spans="1:10" x14ac:dyDescent="0.45">
      <c r="A549" s="1">
        <v>44067</v>
      </c>
      <c r="B549">
        <v>143.61000000000001</v>
      </c>
      <c r="C549">
        <v>149.1</v>
      </c>
      <c r="D549">
        <v>16.77</v>
      </c>
      <c r="E549">
        <v>12.26</v>
      </c>
      <c r="F549">
        <v>17.739999999999998</v>
      </c>
      <c r="G549">
        <v>83.62</v>
      </c>
      <c r="H549">
        <v>11.45</v>
      </c>
      <c r="I549">
        <v>24.41</v>
      </c>
      <c r="J549">
        <v>28.14</v>
      </c>
    </row>
    <row r="550" spans="1:10" x14ac:dyDescent="0.45">
      <c r="A550" s="1">
        <v>44064</v>
      </c>
      <c r="B550">
        <v>142.75</v>
      </c>
      <c r="C550">
        <v>148.27000000000001</v>
      </c>
      <c r="D550">
        <v>16.62</v>
      </c>
      <c r="E550">
        <v>12.14</v>
      </c>
      <c r="F550">
        <v>17.57</v>
      </c>
      <c r="G550">
        <v>82.79</v>
      </c>
      <c r="H550">
        <v>11.29</v>
      </c>
      <c r="I550">
        <v>24.4</v>
      </c>
      <c r="J550">
        <v>27.68</v>
      </c>
    </row>
    <row r="551" spans="1:10" x14ac:dyDescent="0.45">
      <c r="A551" s="1">
        <v>44063</v>
      </c>
      <c r="B551">
        <v>142.15</v>
      </c>
      <c r="C551">
        <v>147.6</v>
      </c>
      <c r="D551">
        <v>16.510000000000002</v>
      </c>
      <c r="E551">
        <v>12.1</v>
      </c>
      <c r="F551">
        <v>17.510000000000002</v>
      </c>
      <c r="G551">
        <v>82.73</v>
      </c>
      <c r="H551">
        <v>11.41</v>
      </c>
      <c r="I551">
        <v>24.56</v>
      </c>
      <c r="J551">
        <v>27.75</v>
      </c>
    </row>
    <row r="552" spans="1:10" x14ac:dyDescent="0.45">
      <c r="A552" s="1">
        <v>44062</v>
      </c>
      <c r="B552">
        <v>140.65</v>
      </c>
      <c r="C552">
        <v>145.55000000000001</v>
      </c>
      <c r="D552">
        <v>16.309999999999999</v>
      </c>
      <c r="E552">
        <v>12.05</v>
      </c>
      <c r="F552">
        <v>17.43</v>
      </c>
      <c r="G552">
        <v>83.62</v>
      </c>
      <c r="H552">
        <v>11.52</v>
      </c>
      <c r="I552">
        <v>24.58</v>
      </c>
      <c r="J552">
        <v>27.95</v>
      </c>
    </row>
    <row r="553" spans="1:10" x14ac:dyDescent="0.45">
      <c r="A553" s="1">
        <v>44061</v>
      </c>
      <c r="B553">
        <v>141.43</v>
      </c>
      <c r="C553">
        <v>146.02000000000001</v>
      </c>
      <c r="D553">
        <v>16.38</v>
      </c>
      <c r="E553">
        <v>12.11</v>
      </c>
      <c r="F553">
        <v>17.510000000000002</v>
      </c>
      <c r="G553">
        <v>83.9</v>
      </c>
      <c r="H553">
        <v>11.64</v>
      </c>
      <c r="I553">
        <v>24.54</v>
      </c>
      <c r="J553">
        <v>28.04</v>
      </c>
    </row>
    <row r="554" spans="1:10" x14ac:dyDescent="0.45">
      <c r="A554" s="1">
        <v>44060</v>
      </c>
      <c r="B554">
        <v>140.4</v>
      </c>
      <c r="C554">
        <v>144.43</v>
      </c>
      <c r="D554">
        <v>16.23</v>
      </c>
      <c r="E554">
        <v>12.07</v>
      </c>
      <c r="F554">
        <v>17.46</v>
      </c>
      <c r="G554">
        <v>84.13</v>
      </c>
      <c r="H554">
        <v>11.63</v>
      </c>
      <c r="I554">
        <v>24.53</v>
      </c>
      <c r="J554">
        <v>28.21</v>
      </c>
    </row>
    <row r="555" spans="1:10" x14ac:dyDescent="0.45">
      <c r="A555" s="1">
        <v>44057</v>
      </c>
      <c r="B555">
        <v>139</v>
      </c>
      <c r="C555">
        <v>142.35</v>
      </c>
      <c r="D555">
        <v>16.059999999999999</v>
      </c>
      <c r="E555">
        <v>12.02</v>
      </c>
      <c r="F555">
        <v>17.41</v>
      </c>
      <c r="G555">
        <v>84.52</v>
      </c>
      <c r="H555">
        <v>11.5</v>
      </c>
      <c r="I555">
        <v>24.14</v>
      </c>
      <c r="J555">
        <v>28.32</v>
      </c>
    </row>
    <row r="556" spans="1:10" x14ac:dyDescent="0.45">
      <c r="A556" s="1">
        <v>44056</v>
      </c>
      <c r="B556">
        <v>139.28</v>
      </c>
      <c r="C556">
        <v>142.86000000000001</v>
      </c>
      <c r="D556">
        <v>16.100000000000001</v>
      </c>
      <c r="E556">
        <v>12.03</v>
      </c>
      <c r="F556">
        <v>17.41</v>
      </c>
      <c r="G556">
        <v>85.25</v>
      </c>
      <c r="H556">
        <v>11.49</v>
      </c>
      <c r="I556">
        <v>24.31</v>
      </c>
      <c r="J556">
        <v>28.25</v>
      </c>
    </row>
    <row r="557" spans="1:10" x14ac:dyDescent="0.45">
      <c r="A557" s="1">
        <v>44055</v>
      </c>
      <c r="B557">
        <v>138.9</v>
      </c>
      <c r="C557">
        <v>142.08000000000001</v>
      </c>
      <c r="D557">
        <v>16.03</v>
      </c>
      <c r="E557">
        <v>12.04</v>
      </c>
      <c r="F557">
        <v>17.440000000000001</v>
      </c>
      <c r="G557">
        <v>85.28</v>
      </c>
      <c r="H557">
        <v>11.52</v>
      </c>
      <c r="I557">
        <v>24.37</v>
      </c>
      <c r="J557">
        <v>28.46</v>
      </c>
    </row>
    <row r="558" spans="1:10" x14ac:dyDescent="0.45">
      <c r="A558" s="1">
        <v>44054</v>
      </c>
      <c r="B558">
        <v>136</v>
      </c>
      <c r="C558">
        <v>138.91999999999999</v>
      </c>
      <c r="D558">
        <v>15.67</v>
      </c>
      <c r="E558">
        <v>11.86</v>
      </c>
      <c r="F558">
        <v>17.2</v>
      </c>
      <c r="G558">
        <v>84.27</v>
      </c>
      <c r="H558">
        <v>11.42</v>
      </c>
      <c r="I558">
        <v>23.98</v>
      </c>
      <c r="J558">
        <v>28.29</v>
      </c>
    </row>
    <row r="559" spans="1:10" x14ac:dyDescent="0.45">
      <c r="A559" s="1">
        <v>44053</v>
      </c>
      <c r="B559">
        <v>138.34</v>
      </c>
      <c r="C559">
        <v>141.19</v>
      </c>
      <c r="D559">
        <v>15.9</v>
      </c>
      <c r="E559">
        <v>11.96</v>
      </c>
      <c r="F559">
        <v>17.36</v>
      </c>
      <c r="G559">
        <v>85.81</v>
      </c>
      <c r="H559">
        <v>11.5</v>
      </c>
      <c r="I559">
        <v>24.1</v>
      </c>
      <c r="J559">
        <v>28.21</v>
      </c>
    </row>
    <row r="560" spans="1:10" x14ac:dyDescent="0.45">
      <c r="A560" s="1">
        <v>44050</v>
      </c>
      <c r="B560">
        <v>138.87</v>
      </c>
      <c r="C560">
        <v>142.29</v>
      </c>
      <c r="D560">
        <v>15.99</v>
      </c>
      <c r="E560">
        <v>11.94</v>
      </c>
      <c r="F560">
        <v>17.329999999999998</v>
      </c>
      <c r="G560">
        <v>85.73</v>
      </c>
      <c r="H560">
        <v>11.33</v>
      </c>
      <c r="I560">
        <v>24.28</v>
      </c>
      <c r="J560">
        <v>27.9</v>
      </c>
    </row>
    <row r="561" spans="1:10" x14ac:dyDescent="0.45">
      <c r="A561" s="1">
        <v>44049</v>
      </c>
      <c r="B561">
        <v>140.07</v>
      </c>
      <c r="C561">
        <v>144.38999999999999</v>
      </c>
      <c r="D561">
        <v>16.16</v>
      </c>
      <c r="E561">
        <v>11.94</v>
      </c>
      <c r="F561">
        <v>17.329999999999998</v>
      </c>
      <c r="G561">
        <v>84.31</v>
      </c>
      <c r="H561">
        <v>11.45</v>
      </c>
      <c r="I561">
        <v>24.39</v>
      </c>
      <c r="J561">
        <v>27.56</v>
      </c>
    </row>
    <row r="562" spans="1:10" x14ac:dyDescent="0.45">
      <c r="A562" s="1">
        <v>44048</v>
      </c>
      <c r="B562">
        <v>138.66999999999999</v>
      </c>
      <c r="C562">
        <v>142.77000000000001</v>
      </c>
      <c r="D562">
        <v>15.98</v>
      </c>
      <c r="E562">
        <v>11.86</v>
      </c>
      <c r="F562">
        <v>17.21</v>
      </c>
      <c r="G562">
        <v>83.21</v>
      </c>
      <c r="H562">
        <v>11.48</v>
      </c>
      <c r="I562">
        <v>24.49</v>
      </c>
      <c r="J562">
        <v>27.49</v>
      </c>
    </row>
    <row r="563" spans="1:10" x14ac:dyDescent="0.45">
      <c r="A563" s="1">
        <v>44047</v>
      </c>
      <c r="B563">
        <v>137.94999999999999</v>
      </c>
      <c r="C563">
        <v>141.36000000000001</v>
      </c>
      <c r="D563">
        <v>15.86</v>
      </c>
      <c r="E563">
        <v>11.79</v>
      </c>
      <c r="F563">
        <v>17.100000000000001</v>
      </c>
      <c r="G563">
        <v>84.35</v>
      </c>
      <c r="H563">
        <v>11.23</v>
      </c>
      <c r="I563">
        <v>24.38</v>
      </c>
      <c r="J563">
        <v>27.22</v>
      </c>
    </row>
    <row r="564" spans="1:10" x14ac:dyDescent="0.45">
      <c r="A564" s="1">
        <v>44046</v>
      </c>
      <c r="B564">
        <v>137.46</v>
      </c>
      <c r="C564">
        <v>140.57</v>
      </c>
      <c r="D564">
        <v>15.81</v>
      </c>
      <c r="E564">
        <v>11.75</v>
      </c>
      <c r="F564">
        <v>17.04</v>
      </c>
      <c r="G564">
        <v>83.99</v>
      </c>
      <c r="H564">
        <v>11.02</v>
      </c>
      <c r="I564">
        <v>24.5</v>
      </c>
      <c r="J564">
        <v>27.08</v>
      </c>
    </row>
    <row r="565" spans="1:10" x14ac:dyDescent="0.45">
      <c r="A565" s="1">
        <v>44043</v>
      </c>
      <c r="B565">
        <v>135.47</v>
      </c>
      <c r="C565">
        <v>138.1</v>
      </c>
      <c r="D565">
        <v>15.61</v>
      </c>
      <c r="E565">
        <v>11.66</v>
      </c>
      <c r="F565">
        <v>16.899999999999999</v>
      </c>
      <c r="G565">
        <v>85</v>
      </c>
      <c r="H565">
        <v>10.92</v>
      </c>
      <c r="I565">
        <v>24.04</v>
      </c>
      <c r="J565">
        <v>26.98</v>
      </c>
    </row>
    <row r="566" spans="1:10" x14ac:dyDescent="0.45">
      <c r="A566" s="1">
        <v>44042</v>
      </c>
      <c r="B566">
        <v>133.49</v>
      </c>
      <c r="C566">
        <v>136.29</v>
      </c>
      <c r="D566">
        <v>15.39</v>
      </c>
      <c r="E566">
        <v>11.57</v>
      </c>
      <c r="F566">
        <v>16.78</v>
      </c>
      <c r="G566">
        <v>84.77</v>
      </c>
      <c r="H566">
        <v>10.99</v>
      </c>
      <c r="I566">
        <v>24.35</v>
      </c>
      <c r="J566">
        <v>27.15</v>
      </c>
    </row>
    <row r="567" spans="1:10" x14ac:dyDescent="0.45">
      <c r="A567" s="1">
        <v>44041</v>
      </c>
      <c r="B567">
        <v>132.91</v>
      </c>
      <c r="C567">
        <v>135.94999999999999</v>
      </c>
      <c r="D567">
        <v>15.33</v>
      </c>
      <c r="E567">
        <v>11.61</v>
      </c>
      <c r="F567">
        <v>16.829999999999998</v>
      </c>
      <c r="G567">
        <v>84.78</v>
      </c>
      <c r="H567">
        <v>11.21</v>
      </c>
      <c r="I567">
        <v>24.39</v>
      </c>
      <c r="J567">
        <v>27.42</v>
      </c>
    </row>
    <row r="568" spans="1:10" x14ac:dyDescent="0.45">
      <c r="A568" s="1">
        <v>44040</v>
      </c>
      <c r="B568">
        <v>131.13</v>
      </c>
      <c r="C568">
        <v>133.77000000000001</v>
      </c>
      <c r="D568">
        <v>15.14</v>
      </c>
      <c r="E568">
        <v>11.46</v>
      </c>
      <c r="F568">
        <v>16.62</v>
      </c>
      <c r="G568">
        <v>84.44</v>
      </c>
      <c r="H568">
        <v>11.13</v>
      </c>
      <c r="I568">
        <v>24.38</v>
      </c>
      <c r="J568">
        <v>26.99</v>
      </c>
    </row>
    <row r="569" spans="1:10" x14ac:dyDescent="0.45">
      <c r="A569" s="1">
        <v>44039</v>
      </c>
      <c r="B569">
        <v>132.82</v>
      </c>
      <c r="C569">
        <v>135.57</v>
      </c>
      <c r="D569">
        <v>15.34</v>
      </c>
      <c r="E569">
        <v>11.54</v>
      </c>
      <c r="F569">
        <v>16.73</v>
      </c>
      <c r="G569">
        <v>83.37</v>
      </c>
      <c r="H569">
        <v>11.26</v>
      </c>
      <c r="I569">
        <v>24.36</v>
      </c>
      <c r="J569">
        <v>27.16</v>
      </c>
    </row>
    <row r="570" spans="1:10" x14ac:dyDescent="0.45">
      <c r="A570" s="1">
        <v>44036</v>
      </c>
      <c r="B570">
        <v>130.63999999999999</v>
      </c>
      <c r="C570">
        <v>133.13</v>
      </c>
      <c r="D570">
        <v>15.1</v>
      </c>
      <c r="E570">
        <v>11.45</v>
      </c>
      <c r="F570">
        <v>16.59</v>
      </c>
      <c r="G570">
        <v>84.5</v>
      </c>
      <c r="H570">
        <v>11.05</v>
      </c>
      <c r="I570">
        <v>24.1</v>
      </c>
      <c r="J570">
        <v>27.09</v>
      </c>
    </row>
    <row r="571" spans="1:10" x14ac:dyDescent="0.45">
      <c r="A571" s="1">
        <v>44035</v>
      </c>
      <c r="B571">
        <v>131.88</v>
      </c>
      <c r="C571">
        <v>134.09</v>
      </c>
      <c r="D571">
        <v>15.19</v>
      </c>
      <c r="E571">
        <v>11.53</v>
      </c>
      <c r="F571">
        <v>16.670000000000002</v>
      </c>
      <c r="G571">
        <v>84.96</v>
      </c>
      <c r="H571">
        <v>11.03</v>
      </c>
      <c r="I571">
        <v>24.41</v>
      </c>
      <c r="J571">
        <v>27.38</v>
      </c>
    </row>
    <row r="572" spans="1:10" x14ac:dyDescent="0.45">
      <c r="A572" s="1">
        <v>44034</v>
      </c>
      <c r="B572">
        <v>134.97</v>
      </c>
      <c r="C572">
        <v>137.34</v>
      </c>
      <c r="D572">
        <v>15.54</v>
      </c>
      <c r="E572">
        <v>11.68</v>
      </c>
      <c r="F572">
        <v>16.89</v>
      </c>
      <c r="G572">
        <v>84.76</v>
      </c>
      <c r="H572">
        <v>11.04</v>
      </c>
      <c r="I572">
        <v>24.77</v>
      </c>
      <c r="J572">
        <v>27.39</v>
      </c>
    </row>
    <row r="573" spans="1:10" x14ac:dyDescent="0.45">
      <c r="A573" s="1">
        <v>44033</v>
      </c>
      <c r="B573">
        <v>134.63999999999999</v>
      </c>
      <c r="C573">
        <v>136.9</v>
      </c>
      <c r="D573">
        <v>15.49</v>
      </c>
      <c r="E573">
        <v>11.61</v>
      </c>
      <c r="F573">
        <v>16.79</v>
      </c>
      <c r="G573">
        <v>84.08</v>
      </c>
      <c r="H573">
        <v>11.05</v>
      </c>
      <c r="I573">
        <v>24.8</v>
      </c>
      <c r="J573">
        <v>27.23</v>
      </c>
    </row>
    <row r="574" spans="1:10" x14ac:dyDescent="0.45">
      <c r="A574" s="1">
        <v>44032</v>
      </c>
      <c r="B574">
        <v>135.72999999999999</v>
      </c>
      <c r="C574">
        <v>138.34</v>
      </c>
      <c r="D574">
        <v>15.62</v>
      </c>
      <c r="E574">
        <v>11.6</v>
      </c>
      <c r="F574">
        <v>16.79</v>
      </c>
      <c r="G574">
        <v>83.93</v>
      </c>
      <c r="H574">
        <v>10.89</v>
      </c>
      <c r="I574">
        <v>24.99</v>
      </c>
      <c r="J574">
        <v>26.91</v>
      </c>
    </row>
    <row r="575" spans="1:10" x14ac:dyDescent="0.45">
      <c r="A575" s="1">
        <v>44029</v>
      </c>
      <c r="B575">
        <v>132.4</v>
      </c>
      <c r="C575">
        <v>134.56</v>
      </c>
      <c r="D575">
        <v>15.21</v>
      </c>
      <c r="E575">
        <v>11.49</v>
      </c>
      <c r="F575">
        <v>16.64</v>
      </c>
      <c r="G575">
        <v>85.29</v>
      </c>
      <c r="H575">
        <v>10.92</v>
      </c>
      <c r="I575">
        <v>25.07</v>
      </c>
      <c r="J575">
        <v>27.04</v>
      </c>
    </row>
    <row r="576" spans="1:10" x14ac:dyDescent="0.45">
      <c r="A576" s="1">
        <v>44028</v>
      </c>
      <c r="B576">
        <v>132.03</v>
      </c>
      <c r="C576">
        <v>134.15</v>
      </c>
      <c r="D576">
        <v>15.18</v>
      </c>
      <c r="E576">
        <v>11.45</v>
      </c>
      <c r="F576">
        <v>16.600000000000001</v>
      </c>
      <c r="G576">
        <v>83.46</v>
      </c>
      <c r="H576">
        <v>10.85</v>
      </c>
      <c r="I576">
        <v>24.62</v>
      </c>
      <c r="J576">
        <v>27.01</v>
      </c>
    </row>
    <row r="577" spans="1:10" x14ac:dyDescent="0.45">
      <c r="A577" s="1">
        <v>44027</v>
      </c>
      <c r="B577">
        <v>133</v>
      </c>
      <c r="C577">
        <v>135.46</v>
      </c>
      <c r="D577">
        <v>15.32</v>
      </c>
      <c r="E577">
        <v>11.49</v>
      </c>
      <c r="F577">
        <v>16.649999999999999</v>
      </c>
      <c r="G577">
        <v>82.67</v>
      </c>
      <c r="H577">
        <v>10.92</v>
      </c>
      <c r="I577">
        <v>24.75</v>
      </c>
      <c r="J577">
        <v>27.04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9FCEB8-99B7-4245-B33F-1338AF2F70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MainSheet</vt:lpstr>
      <vt:lpstr>Final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Mitiguy, JP '23</dc:creator>
  <cp:lastModifiedBy>Mitiguy, JP '23</cp:lastModifiedBy>
  <dcterms:created xsi:type="dcterms:W3CDTF">2015-06-05T18:17:20Z</dcterms:created>
  <dcterms:modified xsi:type="dcterms:W3CDTF">2022-12-06T20:23:19Z</dcterms:modified>
</cp:coreProperties>
</file>